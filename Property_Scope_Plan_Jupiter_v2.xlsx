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harts/chart1.xml" ContentType="application/vnd.openxmlformats-officedocument.drawingml.chart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Progress Log" sheetId="2" state="visible" r:id="rId4"/>
    <sheet name="Weekly Log" sheetId="3" state="visible" r:id="rId5"/>
    <sheet name="Scope Checklist" sheetId="4" state="visible" r:id="rId6"/>
    <sheet name="Executive Summary" sheetId="5" state="visible" r:id="rId7"/>
    <sheet name="Schedule Logic" sheetId="6" state="visible" r:id="rId8"/>
    <sheet name="3-Week Plan" sheetId="7" state="visible" r:id="rId9"/>
    <sheet name="Cost Summary" sheetId="8" state="visible" r:id="rId10"/>
    <sheet name="Summary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Arial"/>
            <family val="2"/>
          </rPr>
          <t xml:space="preserve">Leave =TODAY() for live status, or type a date to report "as of" that date.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30" authorId="0">
      <text>
        <r>
          <rPr>
            <sz val="10"/>
            <rFont val="Arial"/>
            <family val="2"/>
          </rPr>
          <t xml:space="preserve">Proposed: interior demolition complete; dumpster/waste stays open through primer.</t>
        </r>
      </text>
    </comment>
    <comment ref="O34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47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49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52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59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67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68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74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77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78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81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84" authorId="0">
      <text>
        <r>
          <rPr>
            <sz val="10"/>
            <rFont val="Arial"/>
            <family val="2"/>
          </rPr>
          <t xml:space="preserve">Marked Not Needed here, but the framing row (Demo/Structure) lists a kitchen island and the session describes an open-concept kitchen - confirm with the approved kitchen layout.</t>
        </r>
      </text>
    </comment>
    <comment ref="O95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101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132" authorId="0">
      <text>
        <r>
          <rPr>
            <sz val="10"/>
            <rFont val="Arial"/>
            <family val="2"/>
          </rPr>
          <t xml:space="preserve">Confirm Jupiter has crown molding; the house was stripped of trim.</t>
        </r>
      </text>
    </comment>
    <comment ref="O152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161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162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170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172" authorId="0">
      <text>
        <r>
          <rPr>
            <sz val="10"/>
            <rFont val="Arial"/>
            <family val="2"/>
          </rPr>
          <t xml:space="preserve">Sheet marks asphalt overlay as an alternative to pavers - not scheduled. Schedule only if chosen instead of pavers.</t>
        </r>
      </text>
    </comment>
    <comment ref="O182" authorId="0">
      <text>
        <r>
          <rPr>
            <sz val="10"/>
            <rFont val="Arial"/>
            <family val="2"/>
          </rPr>
          <t xml:space="preserve">Marked Not Needed, but the 21-Sep session says the existing fence must be removed/replaced [08:44], [12:39] and Pre-Construction carries a fence permit - confirm scope. Not scheduled.</t>
        </r>
      </text>
    </comment>
  </commentList>
</comments>
</file>

<file path=xl/sharedStrings.xml><?xml version="1.0" encoding="utf-8"?>
<sst xmlns="http://schemas.openxmlformats.org/spreadsheetml/2006/main" count="2255" uniqueCount="1051">
  <si>
    <t xml:space="preserve">JUPITER RENOVATION - PROJECT DASHBOARD</t>
  </si>
  <si>
    <t xml:space="preserve">Update Status (col E) and Progress % (col I) in Scope Checklist. Everything below recalculates.</t>
  </si>
  <si>
    <t xml:space="preserve">Status date</t>
  </si>
  <si>
    <t xml:space="preserve">Planned finish</t>
  </si>
  <si>
    <t xml:space="preserve">Last progress snapshot</t>
  </si>
  <si>
    <t xml:space="preserve">Work days left</t>
  </si>
  <si>
    <t xml:space="preserve">PLANNED % COMPLETE</t>
  </si>
  <si>
    <t xml:space="preserve">ACTUAL % COMPLETE</t>
  </si>
  <si>
    <t xml:space="preserve">LATE ACTIVITIES</t>
  </si>
  <si>
    <t xml:space="preserve">HEALTH</t>
  </si>
  <si>
    <t xml:space="preserve">What the plan expects by the status date</t>
  </si>
  <si>
    <t xml:space="preserve">From Progress % (hours-weighted)</t>
  </si>
  <si>
    <t xml:space="preserve">Past planned end, not 100%</t>
  </si>
  <si>
    <t xml:space="preserve">PROGRESS BY SECTION</t>
  </si>
  <si>
    <t xml:space="preserve">Section</t>
  </si>
  <si>
    <t xml:space="preserve">Planned %</t>
  </si>
  <si>
    <t xml:space="preserve">Actual %</t>
  </si>
  <si>
    <t xml:space="preserve">Status</t>
  </si>
  <si>
    <t xml:space="preserve">Pre-Construction</t>
  </si>
  <si>
    <t xml:space="preserve">Interior - Demo/Structure</t>
  </si>
  <si>
    <t xml:space="preserve">Interior - Electrical</t>
  </si>
  <si>
    <t xml:space="preserve">Interior - Plumbing</t>
  </si>
  <si>
    <t xml:space="preserve">Interior - HVAC</t>
  </si>
  <si>
    <t xml:space="preserve">Kitchen</t>
  </si>
  <si>
    <t xml:space="preserve">Bath - Master</t>
  </si>
  <si>
    <t xml:space="preserve">Bath - Secondary</t>
  </si>
  <si>
    <t xml:space="preserve">Interior - Finishes</t>
  </si>
  <si>
    <t xml:space="preserve">Closeout</t>
  </si>
  <si>
    <t xml:space="preserve">Exterior</t>
  </si>
  <si>
    <t xml:space="preserve">TOTAL PROJECT</t>
  </si>
  <si>
    <t xml:space="preserve">MILESTONES</t>
  </si>
  <si>
    <t xml:space="preserve">Milestone</t>
  </si>
  <si>
    <t xml:space="preserve">Planned date</t>
  </si>
  <si>
    <t xml:space="preserve">Spec sheets approved (Jaime)</t>
  </si>
  <si>
    <t xml:space="preserve">A&amp;E plans sealed</t>
  </si>
  <si>
    <t xml:space="preserve">Permit package submitted</t>
  </si>
  <si>
    <t xml:space="preserve">Permits issued</t>
  </si>
  <si>
    <t xml:space="preserve">Underground plumbing inspection</t>
  </si>
  <si>
    <t xml:space="preserve">Rough-in inspections (walls can close)</t>
  </si>
  <si>
    <t xml:space="preserve">Demo/Structure complete</t>
  </si>
  <si>
    <t xml:space="preserve">Shower waterproofing inspection</t>
  </si>
  <si>
    <t xml:space="preserve">Bath tile complete</t>
  </si>
  <si>
    <t xml:space="preserve">Ready for MEP trim</t>
  </si>
  <si>
    <t xml:space="preserve">Final inspections passed</t>
  </si>
  <si>
    <t xml:space="preserve">Certificate of Completion</t>
  </si>
  <si>
    <t xml:space="preserve">Exterior + landscape complete</t>
  </si>
  <si>
    <t xml:space="preserve">Listing-ready</t>
  </si>
  <si>
    <t xml:space="preserve">NEEDS ATTENTION - late activities</t>
  </si>
  <si>
    <t xml:space="preserve">Activity</t>
  </si>
  <si>
    <t xml:space="preserve">Owner</t>
  </si>
  <si>
    <t xml:space="preserve">Days late</t>
  </si>
  <si>
    <t xml:space="preserve">Status icons: ✔ done / on track · ◆ due within 2 weeks · ▲ at risk · ✖ late / behind · ○ not started. Chart: blue = planned, orange = actual (recorded weekly by the macro).</t>
  </si>
  <si>
    <t xml:space="preserve">PROGRESS LOG - DAILY SNAPSHOTS</t>
  </si>
  <si>
    <t xml:space="preserve">Written by the ProgressLogger macro (automation/ProgressLogger.bas): on open, on save and with the Dashboard button. One row per day; re-recording the same day overwrites it. Values are frozen - do not type here.</t>
  </si>
  <si>
    <t xml:space="preserve">LIVE SNAPSHOT (formulas - this row is what the macro copies)</t>
  </si>
  <si>
    <t xml:space="preserve">Recorded at</t>
  </si>
  <si>
    <t xml:space="preserve">As-of date</t>
  </si>
  <si>
    <t xml:space="preserve">Recorded by</t>
  </si>
  <si>
    <t xml:space="preserve">Variance (pts)</t>
  </si>
  <si>
    <t xml:space="preserve">SPI</t>
  </si>
  <si>
    <t xml:space="preserve">Sched. variance (hrs)</t>
  </si>
  <si>
    <t xml:space="preserve">Late activities</t>
  </si>
  <si>
    <t xml:space="preserve">Next 2 wks</t>
  </si>
  <si>
    <t xml:space="preserve">Health</t>
  </si>
  <si>
    <t xml:space="preserve">Milestones done</t>
  </si>
  <si>
    <t xml:space="preserve">Milestones late</t>
  </si>
  <si>
    <t xml:space="preserve">First late milestone</t>
  </si>
  <si>
    <t xml:space="preserve">Pre-Construction - Plan %</t>
  </si>
  <si>
    <t xml:space="preserve">Pre-Construction - Actual %</t>
  </si>
  <si>
    <t xml:space="preserve">Interior - Demo/Structure - Plan %</t>
  </si>
  <si>
    <t xml:space="preserve">Interior - Demo/Structure - Actual %</t>
  </si>
  <si>
    <t xml:space="preserve">Interior - Electrical - Plan %</t>
  </si>
  <si>
    <t xml:space="preserve">Interior - Electrical - Actual %</t>
  </si>
  <si>
    <t xml:space="preserve">Interior - Plumbing - Plan %</t>
  </si>
  <si>
    <t xml:space="preserve">Interior - Plumbing - Actual %</t>
  </si>
  <si>
    <t xml:space="preserve">Interior - HVAC - Plan %</t>
  </si>
  <si>
    <t xml:space="preserve">Interior - HVAC - Actual %</t>
  </si>
  <si>
    <t xml:space="preserve">Kitchen - Plan %</t>
  </si>
  <si>
    <t xml:space="preserve">Kitchen - Actual %</t>
  </si>
  <si>
    <t xml:space="preserve">Bath - Master - Plan %</t>
  </si>
  <si>
    <t xml:space="preserve">Bath - Master - Actual %</t>
  </si>
  <si>
    <t xml:space="preserve">Bath - Secondary - Plan %</t>
  </si>
  <si>
    <t xml:space="preserve">Bath - Secondary - Actual %</t>
  </si>
  <si>
    <t xml:space="preserve">Interior - Finishes - Plan %</t>
  </si>
  <si>
    <t xml:space="preserve">Interior - Finishes - Actual %</t>
  </si>
  <si>
    <t xml:space="preserve">Closeout - Plan %</t>
  </si>
  <si>
    <t xml:space="preserve">Closeout - Actual %</t>
  </si>
  <si>
    <t xml:space="preserve">Exterior - Plan %</t>
  </si>
  <si>
    <t xml:space="preserve">Exterior - Actual %</t>
  </si>
  <si>
    <t xml:space="preserve">LIVE &gt;</t>
  </si>
  <si>
    <t xml:space="preserve">DAILY LOG</t>
  </si>
  <si>
    <t xml:space="preserve">WEEKLY LOG - ONE ROW PER WEEK (ENDING FRIDAY)</t>
  </si>
  <si>
    <t xml:space="preserve">Columns A-B are the baseline plan (formulas; planned % uses a calendar-day approximation). Columns C onward are written by the ProgressLogger macro: every recording updates the current week; after Friday the row is marked Final. Feeds the Dashboard chart.</t>
  </si>
  <si>
    <t xml:space="preserve">Week ending (Fri)</t>
  </si>
  <si>
    <t xml:space="preserve">Planned % (baseline)</t>
  </si>
  <si>
    <t xml:space="preserve">Week status</t>
  </si>
  <si>
    <t xml:space="preserve">COMPLETE RENOVATION - PENDING ITEMS + COST TRACKER</t>
  </si>
  <si>
    <t xml:space="preserve">RACI</t>
  </si>
  <si>
    <t xml:space="preserve">Responsible</t>
  </si>
  <si>
    <t xml:space="preserve">Accountable</t>
  </si>
  <si>
    <t xml:space="preserve">Consulted</t>
  </si>
  <si>
    <t xml:space="preserve">Informed</t>
  </si>
  <si>
    <t xml:space="preserve">Project: </t>
  </si>
  <si>
    <t xml:space="preserve">Jupiter</t>
  </si>
  <si>
    <t xml:space="preserve">Baseline start:</t>
  </si>
  <si>
    <t xml:space="preserve">Updated: July 2, 2026 - costs per Project Status &amp; Cost Summary PDF</t>
  </si>
  <si>
    <t xml:space="preserve">Schedule proposal Sep 24, 2026 (session 2026-ACTA-JUPITER-01): dates in F-H are driven by 'Schedule Logic'. N1-N16 = activities added from the 21-Sep session.</t>
  </si>
  <si>
    <t xml:space="preserve">#</t>
  </si>
  <si>
    <t xml:space="preserve">Category</t>
  </si>
  <si>
    <t xml:space="preserve">Area</t>
  </si>
  <si>
    <t xml:space="preserve">Scope Item</t>
  </si>
  <si>
    <t xml:space="preserve">Start Day</t>
  </si>
  <si>
    <t xml:space="preserve">End Day</t>
  </si>
  <si>
    <t xml:space="preserve">Effort (Hours)</t>
  </si>
  <si>
    <t xml:space="preserve">Progress (%)</t>
  </si>
  <si>
    <t xml:space="preserve">Exec Order</t>
  </si>
  <si>
    <t xml:space="preserve">Total Cost</t>
  </si>
  <si>
    <t xml:space="preserve">Balance Due</t>
  </si>
  <si>
    <t xml:space="preserve">Vendor / Sub</t>
  </si>
  <si>
    <t xml:space="preserve">Notes</t>
  </si>
  <si>
    <t xml:space="preserve">PRE-CONSTRUCTION</t>
  </si>
  <si>
    <t xml:space="preserve">General</t>
  </si>
  <si>
    <t xml:space="preserve">Architecture &amp; Engineering design and proposal</t>
  </si>
  <si>
    <t xml:space="preserve">Pending</t>
  </si>
  <si>
    <t xml:space="preserve">-</t>
  </si>
  <si>
    <t xml:space="preserve">Plan Drafting, caculations, Architectural Plan, Electrical Plan, Plumbing Plan, Mechanical Plan, </t>
  </si>
  <si>
    <t xml:space="preserve">Determine specification sheets (Render)</t>
  </si>
  <si>
    <t xml:space="preserve">It defines the type of finish and material to be used</t>
  </si>
  <si>
    <t xml:space="preserve">Architecture &amp; Engineering Approval</t>
  </si>
  <si>
    <t xml:space="preserve">Select provides and assign budget</t>
  </si>
  <si>
    <t xml:space="preserve">PO Created for each case, set the date for procurement
Determine material supplier &amp; Labor provider
</t>
  </si>
  <si>
    <t xml:space="preserve">Property boundary survey</t>
  </si>
  <si>
    <t xml:space="preserve">Complete</t>
  </si>
  <si>
    <t xml:space="preserve">HOA / ARB approval - Garage Door</t>
  </si>
  <si>
    <t xml:space="preserve">HOA / ARB approval - exterior paint</t>
  </si>
  <si>
    <t xml:space="preserve">HOA / ARB approval - driveway</t>
  </si>
  <si>
    <t xml:space="preserve">HOA / ARB approval - Landscaping</t>
  </si>
  <si>
    <t xml:space="preserve">Obtain access to Online Portal</t>
  </si>
  <si>
    <t xml:space="preserve">Portal depends on the city: 
Town of Jupiter</t>
  </si>
  <si>
    <t xml:space="preserve">Certificate of insurance per trade per jurisdiction</t>
  </si>
  <si>
    <t xml:space="preserve">To:
County
City
HOA</t>
  </si>
  <si>
    <t xml:space="preserve">Workers compensation per trade</t>
  </si>
  <si>
    <t xml:space="preserve">Ongoing document</t>
  </si>
  <si>
    <t xml:space="preserve">DBPR license per trade</t>
  </si>
  <si>
    <t xml:space="preserve">Notice of Commencement (NOC)</t>
  </si>
  <si>
    <t xml:space="preserve">W1-01</t>
  </si>
  <si>
    <t xml:space="preserve">A</t>
  </si>
  <si>
    <t xml:space="preserve">Based on Martin County:
Obtain the correct file
Fill-out
Notarize
Record</t>
  </si>
  <si>
    <t xml:space="preserve">Permits</t>
  </si>
  <si>
    <t xml:space="preserve">Permits package submittal</t>
  </si>
  <si>
    <t xml:space="preserve">Permit Application per trade
https://www.jupiter.fl.us/98/Permit-Package-Submittal</t>
  </si>
  <si>
    <t xml:space="preserve">GC master permit - Residential alterations and additions</t>
  </si>
  <si>
    <t xml:space="preserve">Residential-AlterationsAdditions</t>
  </si>
  <si>
    <t xml:space="preserve">Mechanical permit</t>
  </si>
  <si>
    <t xml:space="preserve">W1-04</t>
  </si>
  <si>
    <t xml:space="preserve">Mechanical</t>
  </si>
  <si>
    <t xml:space="preserve">Electrical permit</t>
  </si>
  <si>
    <t xml:space="preserve">W1-03</t>
  </si>
  <si>
    <t xml:space="preserve">Please submit/upload plans in PDF format</t>
  </si>
  <si>
    <t xml:space="preserve">Plumbing permit</t>
  </si>
  <si>
    <t xml:space="preserve">W1-02</t>
  </si>
  <si>
    <t xml:space="preserve">Plumbing</t>
  </si>
  <si>
    <t xml:space="preserve">Fence permit</t>
  </si>
  <si>
    <t xml:space="preserve">W1-05</t>
  </si>
  <si>
    <t xml:space="preserve">A + V</t>
  </si>
  <si>
    <t xml:space="preserve">Fences</t>
  </si>
  <si>
    <t xml:space="preserve">Driveway permit</t>
  </si>
  <si>
    <t xml:space="preserve">W1-06</t>
  </si>
  <si>
    <t xml:space="preserve">Concrete, Patios, Decks, Slabs, Pavers Dec21.docx</t>
  </si>
  <si>
    <t xml:space="preserve">Gazebo permit</t>
  </si>
  <si>
    <t xml:space="preserve">Gazebo-Dec1.docx</t>
  </si>
  <si>
    <t xml:space="preserve">Garage-door permit</t>
  </si>
  <si>
    <t xml:space="preserve">Garage-Door-Replacement</t>
  </si>
  <si>
    <t xml:space="preserve">Demolition &amp; Waste Management</t>
  </si>
  <si>
    <t xml:space="preserve">In Progress</t>
  </si>
  <si>
    <t xml:space="preserve">Ongoing</t>
  </si>
  <si>
    <t xml:space="preserve">Dumpster / waste disposal
</t>
  </si>
  <si>
    <t xml:space="preserve">Utilities</t>
  </si>
  <si>
    <t xml:space="preserve">All utilities on autopay, up to date</t>
  </si>
  <si>
    <t xml:space="preserve">INTERIOR - DEMO/STRUCTURE</t>
  </si>
  <si>
    <t xml:space="preserve">Interior demolition</t>
  </si>
  <si>
    <t xml:space="preserve">Wall partitions, flooring, baseborads, doors, trim, bathrooms and kitchen</t>
  </si>
  <si>
    <t xml:space="preserve">Drywall repair / install + skim coat. Initial phase complete</t>
  </si>
  <si>
    <t xml:space="preserve">W1-08</t>
  </si>
  <si>
    <t xml:space="preserve">V</t>
  </si>
  <si>
    <t xml:space="preserve">N1</t>
  </si>
  <si>
    <t xml:space="preserve">Site protection + inventory (windows, railings, outlets, switches, smoke detectors)</t>
  </si>
  <si>
    <t xml:space="preserve">Added from 21-Sep session [16:10]-[17:08]: tape/plastic on windows + railings; inventory and cover outlets, switches, smoke detectors before any new trade enters (lesson: tile crew cement on windows/railings); seal AC returns/registers, air handler off or filtered during dusty work</t>
  </si>
  <si>
    <t xml:space="preserve">N2</t>
  </si>
  <si>
    <t xml:space="preserve">Structure</t>
  </si>
  <si>
    <t xml:space="preserve">Structural engineering review - removed interior walls / truss bearing</t>
  </si>
  <si>
    <t xml:space="preserve">A / Sub</t>
  </si>
  <si>
    <t xml:space="preserve">Added from 21-Sep session [14:41]-[15:36]: engineer verifies roof trusses bear on perimeter walls; signed + sealed letter feeds A&amp;E plans and framing permit</t>
  </si>
  <si>
    <t xml:space="preserve">Popcorn ceiling removal - flat finish &amp; skin coat</t>
  </si>
  <si>
    <t xml:space="preserve">Sub</t>
  </si>
  <si>
    <t xml:space="preserve">All applicable areas included garage. Asbestos test on texture BEFORE scraping (lab 2-3 days); scrape + first flat coat now, final skim after MEP rough-in (recessed light cuts)</t>
  </si>
  <si>
    <t xml:space="preserve">Framing repairs / new partitions</t>
  </si>
  <si>
    <t xml:space="preserve">Master Bathroom walls, Master closet walls, kitchen island. Requires engineer letter (N2) + GC master permit issued</t>
  </si>
  <si>
    <t xml:space="preserve">N3</t>
  </si>
  <si>
    <t xml:space="preserve">Slab trench patch after underground plumbing (baths/kitchen) + slab inspection</t>
  </si>
  <si>
    <t xml:space="preserve">Added from 21-Sep session [52:36]-[53:16]: underground plumbing inspection (P-trap, slope) must PASS before slab is closed; then slab/structure + plumbing inspections run together</t>
  </si>
  <si>
    <t xml:space="preserve">Concrete slab repair + tile infill under AC unit</t>
  </si>
  <si>
    <t xml:space="preserve">W1-09</t>
  </si>
  <si>
    <t xml:space="preserve">Slab below equipment requires repair; cost in HVAC maintenance line; small demo required; V: demo tile in closet, install new tile</t>
  </si>
  <si>
    <t xml:space="preserve">N4</t>
  </si>
  <si>
    <t xml:space="preserve">Inspections</t>
  </si>
  <si>
    <t xml:space="preserve">Framing + MEP rough-in inspections (pre-cover milestone)</t>
  </si>
  <si>
    <t xml:space="preserve">Added from 21-Sep session [35:22]-[40:28]: schedule via MGO; inspector usually next day; sealed large-format plans on site for inspector comments. Gate for closing walls (drywall)</t>
  </si>
  <si>
    <t xml:space="preserve">Drywall repair / install &amp; finish. 2nd phase </t>
  </si>
  <si>
    <t xml:space="preserve">W2-19</t>
  </si>
  <si>
    <t xml:space="preserve">Corner bead finish + paint at windows/doors. Hang + tape new partitions only after framing/MEP rough-in inspections PASS (N4)</t>
  </si>
  <si>
    <t xml:space="preserve">Drywall repair / install &amp; finish. Final phase </t>
  </si>
  <si>
    <t xml:space="preserve">Final sand + popcorn-ceiling final skim; surfaces ready for primer</t>
  </si>
  <si>
    <t xml:space="preserve">N5</t>
  </si>
  <si>
    <t xml:space="preserve">Surface prep - primer on walls + ceilings</t>
  </si>
  <si>
    <t xml:space="preserve">H</t>
  </si>
  <si>
    <t xml:space="preserve">Added from 21-Sep session [18:17]-[19:44]: first coat = primer (wall/ceiling specific) before wet trades; improves adhesion, fewer paint coats</t>
  </si>
  <si>
    <t xml:space="preserve">Attic insulation</t>
  </si>
  <si>
    <t xml:space="preserve">Not Needed</t>
  </si>
  <si>
    <t xml:space="preserve">INTERIOR - ELECTRICAL</t>
  </si>
  <si>
    <t xml:space="preserve">Contract</t>
  </si>
  <si>
    <t xml:space="preserve">Electrical contract - overall</t>
  </si>
  <si>
    <t xml:space="preserve">W2-02</t>
  </si>
  <si>
    <t xml:space="preserve">$7,000 paid / $7,000 balance; final inspection pending; remaining: light fixtures + fans, all outlets + switches, kitchen chandelier, exterior floodlight, kitchen LED lighting, bath exhaust fans, bathtub electrical connection, LED mirror install</t>
  </si>
  <si>
    <t xml:space="preserve">N6</t>
  </si>
  <si>
    <t xml:space="preserve">Whole house</t>
  </si>
  <si>
    <t xml:space="preserve">Make-safe exposed wiring from demolition (cap, label, temp lighting)</t>
  </si>
  <si>
    <t xml:space="preserve">Added from 21-Sep session [14:34]-[14:41]: loose conductors left where partitions were removed; cap/label live circuits before trades return</t>
  </si>
  <si>
    <t xml:space="preserve">Electrical panel change out</t>
  </si>
  <si>
    <t xml:space="preserve">W1-10</t>
  </si>
  <si>
    <t xml:space="preserve">Permit pending; Panel already installed; V: add labels to cover, identify amperage + service; A: schedule + pass inspection</t>
  </si>
  <si>
    <t xml:space="preserve">N7</t>
  </si>
  <si>
    <t xml:space="preserve">Electrical rough-in - relocated boxes, new kitchen/bath circuits</t>
  </si>
  <si>
    <t xml:space="preserve">Added from 21-Sep session [12:07]-[12:38]: open-concept kitchen + removed walls = relocate boxes/switch legs; dedicated circuits fridge, oven, DW, disposal, hood; bath fans, tub, LED niches. Inspected in N4</t>
  </si>
  <si>
    <t xml:space="preserve">Outlets, switches, GFCI/AFCI</t>
  </si>
  <si>
    <t xml:space="preserve">All pending install, including switches; in electrical contract; Include dedicated outlets for refrigerator + oven; Purchase W1 (A purchase session)</t>
  </si>
  <si>
    <t xml:space="preserve">Recessed lighting (LED)</t>
  </si>
  <si>
    <t xml:space="preserve">All installed and working except one recessed light in patio area</t>
  </si>
  <si>
    <t xml:space="preserve">Ceiling fans</t>
  </si>
  <si>
    <t xml:space="preserve">Purchased (patio, master, bed 2, bed 3, living); awaiting install; in electrical contract</t>
  </si>
  <si>
    <t xml:space="preserve">Dining</t>
  </si>
  <si>
    <t xml:space="preserve">Dining fixture (kitchen chandelier)</t>
  </si>
  <si>
    <t xml:space="preserve">Fixture on hand; reposition electrical box pending; install in electrical contract</t>
  </si>
  <si>
    <t xml:space="preserve">Bathrooms</t>
  </si>
  <si>
    <t xml:space="preserve">LED mirrors - install</t>
  </si>
  <si>
    <t xml:space="preserve">W3-04</t>
  </si>
  <si>
    <t xml:space="preserve">In electrical contract remaining work; Purchase in W1 session (A)</t>
  </si>
  <si>
    <t xml:space="preserve">Smoke / CO detectors - replace all</t>
  </si>
  <si>
    <t xml:space="preserve">W1-14</t>
  </si>
  <si>
    <t xml:space="preserve">V &gt; A</t>
  </si>
  <si>
    <t xml:space="preserve">Count pending; purchase pending; V: count detectors; A: purchase after count; existing detectors covered during protection (N1) - replace with interconnected units at trim</t>
  </si>
  <si>
    <t xml:space="preserve">Doorbell / smart doorbell</t>
  </si>
  <si>
    <t xml:space="preserve">INTERIOR - PLUMBING</t>
  </si>
  <si>
    <t xml:space="preserve">Plumbing redirects (in lieu of full repipe)</t>
  </si>
  <si>
    <t xml:space="preserve">Lines redirected for new shower valves, new toilet position, new kitchen faucet + dishwasher locations; new fridge water line overhead in blue PEX</t>
  </si>
  <si>
    <t xml:space="preserve">N8</t>
  </si>
  <si>
    <t xml:space="preserve">Underground DWV rough-in (baths/kitchen) incl. P-traps + underground inspection PASS</t>
  </si>
  <si>
    <t xml:space="preserve">Added from 21-Sep session [50:25]-[52:36]: a straight pipe without U/P-trap caused sewer gas and a finished shower had to be demolished. Camera-scope existing drains; do NOT close slab until inspector passes</t>
  </si>
  <si>
    <t xml:space="preserve">N9</t>
  </si>
  <si>
    <t xml:space="preserve">Water supply rough-in / top-out (shower valves, toilets, kitchen, fridge line) + pressure test</t>
  </si>
  <si>
    <t xml:space="preserve">Added from 21-Sep session [53:00]-[53:16]: plumbing inspector checks open penetrations + blocking for liner; inspected in N4</t>
  </si>
  <si>
    <t xml:space="preserve">Plumbing inventory check - supply lines, drainage, P-traps</t>
  </si>
  <si>
    <t xml:space="preserve">W2-03</t>
  </si>
  <si>
    <t xml:space="preserve">Confirm inventory for all: kitchen faucet, bathroom faucets, toilets; build list (P-traps etc.); purchase gaps</t>
  </si>
  <si>
    <t xml:space="preserve">Final plumbing completion labor</t>
  </si>
  <si>
    <t xml:space="preserve">Victor</t>
  </si>
  <si>
    <t xml:space="preserve">~3 days labor at Victor's daily rate; final inspection pending; trim-out after cabinets, tops + tile (finish-trades milestone in Schedule Logic)</t>
  </si>
  <si>
    <t xml:space="preserve">Angle stops and supply lines throughout</t>
  </si>
  <si>
    <t xml:space="preserve">Water heater</t>
  </si>
  <si>
    <t xml:space="preserve">Working condition - keep</t>
  </si>
  <si>
    <t xml:space="preserve">INTERIOR - HVAC</t>
  </si>
  <si>
    <t xml:space="preserve">AC unit replacement</t>
  </si>
  <si>
    <t xml:space="preserve">Keeping existing unit; permit + inspection to cure open violation</t>
  </si>
  <si>
    <t xml:space="preserve">HVAC maintenance + concrete slab repair</t>
  </si>
  <si>
    <t xml:space="preserve">$1,000-$2,100 range; final cost depends on slab repaired in-house vs fully replaced; permit + inspection required (quick turnaround); A: hire service company</t>
  </si>
  <si>
    <t xml:space="preserve">N10</t>
  </si>
  <si>
    <t xml:space="preserve">Duct modifications - removed partitions, kitchen hood + bath exhaust ducting</t>
  </si>
  <si>
    <t xml:space="preserve">Added from 21-Sep session [12:07]-[12:38] + [33:19]: walls removed for open concept may carry supply/return runs; hood + bath fan ducts (master coupling pending) go in before walls close. Mechanical rough inspected in N4</t>
  </si>
  <si>
    <t xml:space="preserve">Ductwork inspection / repair / clean</t>
  </si>
  <si>
    <t xml:space="preserve">Clean AFTER drywall sanding + primer (dust); returns/registers sealed and filters changed during dusty work</t>
  </si>
  <si>
    <t xml:space="preserve">HVAC coil cleaning</t>
  </si>
  <si>
    <t xml:space="preserve">Part of maintenance line</t>
  </si>
  <si>
    <t xml:space="preserve">HVAC coolant refill service</t>
  </si>
  <si>
    <t xml:space="preserve">AC diffusers</t>
  </si>
  <si>
    <t xml:space="preserve">Purchase + install pending; A: purchase diffusers</t>
  </si>
  <si>
    <t xml:space="preserve">Thermostat</t>
  </si>
  <si>
    <t xml:space="preserve">Return/exchange thermostat; install pending; V: pack thermostat + return via UPS</t>
  </si>
  <si>
    <t xml:space="preserve">KITCHEN</t>
  </si>
  <si>
    <t xml:space="preserve">N11</t>
  </si>
  <si>
    <t xml:space="preserve">Cabinetry</t>
  </si>
  <si>
    <t xml:space="preserve">Cabinet order - field-verify dimensions, PO + fabrication (3-4 wk)</t>
  </si>
  <si>
    <t xml:space="preserve">Added from 21-Sep session [25:34]-[29:44]: ready-made / semi-custom cabinets, not fully custom; fabrication 3-4 wk (a half-size kitchen took 2 wk); only long-lead item [28:29]. Order after framing fixes dimensions + appliance specs (fridge 36 in width/depth, cooktop, hood); timed to land at primer end to defer cash [28:00]. Layout must first be approved by Jaime [13:21]</t>
  </si>
  <si>
    <t xml:space="preserve">Kitchen cabinets + bathroom vanities (combined contract)</t>
  </si>
  <si>
    <t xml:space="preserve">W1-11</t>
  </si>
  <si>
    <t xml:space="preserve">Noel</t>
  </si>
  <si>
    <t xml:space="preserve">$16,875 paid / $4,875 balance; install by cabinet manufacturer, 1-2 days max; quality verification meeting Mon Jul 6, 11:00 AM; A &amp; V both present at Noel appointment Mon Jul 6, 11 AM</t>
  </si>
  <si>
    <t xml:space="preserve">Countertops</t>
  </si>
  <si>
    <t xml:space="preserve">Stone countertops + backsplash (kitchen + baths)</t>
  </si>
  <si>
    <t xml:space="preserve">W1-12</t>
  </si>
  <si>
    <t xml:space="preserve">A / M</t>
  </si>
  <si>
    <t xml:space="preserve">Martin</t>
  </si>
  <si>
    <t xml:space="preserve">$3,950-$5,925 range at $50-$75/sq ft installed + fabricated; kitchen ~35 sq ft counter + ~25 sq ft backsplash; bath 2 ~8 sq ft; master ~11 sq ft; fabrication ~5 business days, install 1-2 days; CABINETS MUST BE FULLY INSTALLED BEFORE FIELD MEASUREMENTS; call Martin for quote; decide if kitchen differs from vanity tops + thresholds; A: request Martin appointment for same Monday Jul 6; Martin meeting Sat Jul 4 - V attends; M provides quote; A selects stone, purchases + makes down payment; M installs ~5 days after quote, subject to stone purchase + delivery availability</t>
  </si>
  <si>
    <t xml:space="preserve">Kitchen sink - purchase</t>
  </si>
  <si>
    <t xml:space="preserve">W1-13</t>
  </si>
  <si>
    <t xml:space="preserve">Kitchen faucet</t>
  </si>
  <si>
    <t xml:space="preserve">Purchase or verify purchase; V: verify faucet already purchased; if not, A purchases</t>
  </si>
  <si>
    <t xml:space="preserve">Appliance package - purchase, transport, install</t>
  </si>
  <si>
    <t xml:space="preserve">Samsung oven + microwave combo $3,700; cooktop $650; dishwasher $500; exhaust hood $500; garbage disposal $250; wine cooler $450; refrigerator $1,800; washer + dryer set $1,250; source via Facebook Marketplace where possible; delivery coordination + install scheduling pending; A: ongoing marketplace search; V: provide refrigerator depth (width confirmed 36 in); V: transport + install W1-W2 as items are acquired</t>
  </si>
  <si>
    <t xml:space="preserve">N12</t>
  </si>
  <si>
    <t xml:space="preserve">Appliance install + hook-ups (oven, cooktop, DW, disposal, hood, fridge line)</t>
  </si>
  <si>
    <t xml:space="preserve">Added: cooktop + sink templates go to the stone fabricator before fabrication; hook-ups need plumbing + electrical trim (dedicated oven/fridge outlets)</t>
  </si>
  <si>
    <t xml:space="preserve">Under-cabinet lighting</t>
  </si>
  <si>
    <t xml:space="preserve">Select transformer; select LED strip; puck light selection, count + purchase; kitchen LED in electrical contract; A: purchase LED lighting for cabinetry</t>
  </si>
  <si>
    <t xml:space="preserve">Kitchen island</t>
  </si>
  <si>
    <t xml:space="preserve">BATH - MASTER</t>
  </si>
  <si>
    <t xml:space="preserve">Shower</t>
  </si>
  <si>
    <t xml:space="preserve">Shower drains - select + purchase (BOTH baths)</t>
  </si>
  <si>
    <t xml:space="preserve">Needed on hand before pan liner / tile sequence</t>
  </si>
  <si>
    <t xml:space="preserve">Vanity</t>
  </si>
  <si>
    <t xml:space="preserve">Sink selection - double sinks</t>
  </si>
  <si>
    <t xml:space="preserve">A purchases sinks</t>
  </si>
  <si>
    <t xml:space="preserve">Shower prep - confirm metal frame distance + shower door frame support (BOTH baths)</t>
  </si>
  <si>
    <t xml:space="preserve">W1-17</t>
  </si>
  <si>
    <t xml:space="preserve">Pre-liner check; do labor if needed; supports glass door install later</t>
  </si>
  <si>
    <t xml:space="preserve">Tub</t>
  </si>
  <si>
    <t xml:space="preserve">Tub install</t>
  </si>
  <si>
    <t xml:space="preserve">W2-17</t>
  </si>
  <si>
    <t xml:space="preserve">Bathtub electrical connection in electrical contract; Bathtub electrical connection ASAP in W1 - ready for inspection; set tub in W2 after inspections pass</t>
  </si>
  <si>
    <t xml:space="preserve">Pan liner install + inspection pass</t>
  </si>
  <si>
    <t xml:space="preserve">W1-18</t>
  </si>
  <si>
    <t xml:space="preserve">Shower sequence step 2 (after step 1 framing); CANNOT start before permit issuance + plumbing/framing/slab inspections scheduled/passed. Pre-slope + liner flat (no folds) [53:16]; 24 h flood test with drain plugged - inspector checks for leaks [55:37]</t>
  </si>
  <si>
    <t xml:space="preserve">Durock + waterproofing install</t>
  </si>
  <si>
    <t xml:space="preserve">Shower sequence steps 3-4: Durock, then waterproofing - after pan liner inspection passes. Board screws at code spacing to metal studs (inspected) [54:00]; seams cemented + anti-mold membrane (inspected) [54:20]</t>
  </si>
  <si>
    <t xml:space="preserve">LED niche</t>
  </si>
  <si>
    <t xml:space="preserve">ASAP - confirm inventory or place supply order</t>
  </si>
  <si>
    <t xml:space="preserve">Metal trim (edge profile) - verify availability</t>
  </si>
  <si>
    <t xml:space="preserve">V: confirm metal trim color + count</t>
  </si>
  <si>
    <t xml:space="preserve">N13</t>
  </si>
  <si>
    <t xml:space="preserve">Shower waterproofing inspection PASS - both baths (gate for tile)</t>
  </si>
  <si>
    <t xml:space="preserve">Added from 21-Sep session [54:00]-[56:43]: cement board screw spacing, cemented seams and anti-mold membrane are each inspected; after the liner flood test [55:37]. Keep weep holes open [56:20]. Tile cannot start before PASS</t>
  </si>
  <si>
    <t xml:space="preserve">Bathroom tile installation - labor (BOTH baths)</t>
  </si>
  <si>
    <t xml:space="preserve">W2-01</t>
  </si>
  <si>
    <t xml:space="preserve">Complete bathroom tile install, both bathrooms; ~10 days total; Starts ONLY after framing, Durock, waterproofing + passed inspections (W1-18 sequence). Decide in spec sheets: full-height wall tile vs wet zones only [23:27]; with inspections already passed the tiler does not wait ([35:22] $1,900 vs $2,700)</t>
  </si>
  <si>
    <t xml:space="preserve">Finishes</t>
  </si>
  <si>
    <t xml:space="preserve">Paint all walls</t>
  </si>
  <si>
    <t xml:space="preserve">W2-13</t>
  </si>
  <si>
    <t xml:space="preserve">Pocket door - verify function + paint</t>
  </si>
  <si>
    <t xml:space="preserve">W2-14</t>
  </si>
  <si>
    <t xml:space="preserve">Vanity cabinetry - confirm quality</t>
  </si>
  <si>
    <t xml:space="preserve">In cabinet contract</t>
  </si>
  <si>
    <t xml:space="preserve">Vanity stone top - select (~11 sq ft)</t>
  </si>
  <si>
    <t xml:space="preserve">In stone contract line</t>
  </si>
  <si>
    <t xml:space="preserve">Threshold + bench top</t>
  </si>
  <si>
    <t xml:space="preserve">W3-01</t>
  </si>
  <si>
    <t xml:space="preserve">M</t>
  </si>
  <si>
    <t xml:space="preserve">Coordinate stone with countertop selection</t>
  </si>
  <si>
    <t xml:space="preserve">Glass shower enclosure - MASTER</t>
  </si>
  <si>
    <t xml:space="preserve">W3-03</t>
  </si>
  <si>
    <t xml:space="preserve">G</t>
  </si>
  <si>
    <t xml:space="preserve">Gino</t>
  </si>
  <si>
    <t xml:space="preserve">$2,500-$3,000; fabrication ~4 days; install 1-2 days; measurements pending; Gino: quote + install MASTER</t>
  </si>
  <si>
    <t xml:space="preserve">Double faucets + double sinks - install</t>
  </si>
  <si>
    <t xml:space="preserve">W3-02</t>
  </si>
  <si>
    <t xml:space="preserve">Verify vanity height pending</t>
  </si>
  <si>
    <t xml:space="preserve">Toilet</t>
  </si>
  <si>
    <t xml:space="preserve">Toilet install + new wax ring</t>
  </si>
  <si>
    <t xml:space="preserve">W1-20</t>
  </si>
  <si>
    <t xml:space="preserve">New toilet position (drain relocated); New flange if necessary; verify supply line + drainage positioning; One row per bathroom (master + secondary)</t>
  </si>
  <si>
    <t xml:space="preserve">Bath hardware (towel bars, TP holder, etc.)</t>
  </si>
  <si>
    <t xml:space="preserve">A &gt; V</t>
  </si>
  <si>
    <t xml:space="preserve">Purchase W1 (A - Amazon / online / retail); install W3</t>
  </si>
  <si>
    <t xml:space="preserve">Ventilation</t>
  </si>
  <si>
    <t xml:space="preserve">Exhaust fan</t>
  </si>
  <si>
    <t xml:space="preserve">Duct install - coupling pending; fan install in electrical contract</t>
  </si>
  <si>
    <t xml:space="preserve">BATH - SECONDARY</t>
  </si>
  <si>
    <t xml:space="preserve">Sink selection - single sink</t>
  </si>
  <si>
    <t xml:space="preserve">Shower sequence step 2 (after step 1 framing); CANNOT start before permit issuance + plumbing/framing/slab inspections scheduled/passed</t>
  </si>
  <si>
    <t xml:space="preserve">Shower sequence steps 3-4: Durock, then waterproofing - after pan liner inspection passes</t>
  </si>
  <si>
    <t xml:space="preserve">Shower tile install</t>
  </si>
  <si>
    <t xml:space="preserve">Labor in master line (both baths, $3,500); Sub - after W1-18 sequence + inspections pass</t>
  </si>
  <si>
    <t xml:space="preserve">Vanity stone top - select (~8 sq ft)</t>
  </si>
  <si>
    <t xml:space="preserve">Glass shower enclosure</t>
  </si>
  <si>
    <t xml:space="preserve">A / V</t>
  </si>
  <si>
    <t xml:space="preserve">In master line (both baths); Use existing inventory glass with black hardware (A provides); V must confirm width</t>
  </si>
  <si>
    <t xml:space="preserve">Faucet + sink - install</t>
  </si>
  <si>
    <t xml:space="preserve">New flange if necessary; verify supply line + drainage positioning; One row per bathroom (master + secondary)</t>
  </si>
  <si>
    <t xml:space="preserve">Verify power supply; fan install in electrical contract</t>
  </si>
  <si>
    <t xml:space="preserve">INTERIOR - FINISHES</t>
  </si>
  <si>
    <t xml:space="preserve">N14</t>
  </si>
  <si>
    <t xml:space="preserve">Flooring</t>
  </si>
  <si>
    <t xml:space="preserve">Floor tile install - living, kitchen, halls (continuous floor)</t>
  </si>
  <si>
    <t xml:space="preserve">S</t>
  </si>
  <si>
    <t xml:space="preserve">Added from 21-Sep session [17:08]-[17:26]: floor goes before baseboards; acta: continuous floors in open concept. Installed BEFORE kitchen cabinets (continuous under cabinets) and protected with floor board afterwards - lesson [16:10] on trades damaging finished work</t>
  </si>
  <si>
    <t xml:space="preserve">Tile - inspect grout 100% + clean 100%</t>
  </si>
  <si>
    <t xml:space="preserve">W2-15</t>
  </si>
  <si>
    <t xml:space="preserve">N15</t>
  </si>
  <si>
    <t xml:space="preserve">Trim</t>
  </si>
  <si>
    <t xml:space="preserve">Trim carpentry - door jambs, prehung doors, casings, baseboards (new)</t>
  </si>
  <si>
    <t xml:space="preserve">Added from 21-Sep session [12:07]: frames, doors and baseboards were all removed; [17:16]-[17:26] jambs with/before floor, baseboards only after floor</t>
  </si>
  <si>
    <t xml:space="preserve">Interior doors and hardware</t>
  </si>
  <si>
    <t xml:space="preserve">Interior paint - walls, ceilings</t>
  </si>
  <si>
    <t xml:space="preserve">H: paint finish inside + touch-ups</t>
  </si>
  <si>
    <t xml:space="preserve">Baseboards - inspect 100%, paint + caulk</t>
  </si>
  <si>
    <t xml:space="preserve">Door trim / casings - inspect 100%, paint + caulk</t>
  </si>
  <si>
    <t xml:space="preserve">Crown molding - inspect 100%, paint + caulk</t>
  </si>
  <si>
    <t xml:space="preserve">LVP in bedrooms</t>
  </si>
  <si>
    <t xml:space="preserve">Transitions - tile to LVP between rooms</t>
  </si>
  <si>
    <t xml:space="preserve">A buys transitions; V installs</t>
  </si>
  <si>
    <t xml:space="preserve">Closets</t>
  </si>
  <si>
    <t xml:space="preserve">Master closet - IKEA</t>
  </si>
  <si>
    <t xml:space="preserve">W2-18</t>
  </si>
  <si>
    <t xml:space="preserve">Purchase, assemble, install; A purchases ASAP (W1); transport V&amp;A or A&amp;H; V assembles + installs</t>
  </si>
  <si>
    <t xml:space="preserve">Second closet - IKEA</t>
  </si>
  <si>
    <t xml:space="preserve">Window treatments - blinds</t>
  </si>
  <si>
    <t xml:space="preserve">W3-08</t>
  </si>
  <si>
    <t xml:space="preserve">Request approval for blinds; V: confirm measurements; A: selection; approval needed</t>
  </si>
  <si>
    <t xml:space="preserve">Garage</t>
  </si>
  <si>
    <t xml:space="preserve">Garage floor - repair + epoxy</t>
  </si>
  <si>
    <t xml:space="preserve">W2-12</t>
  </si>
  <si>
    <t xml:space="preserve">A: ask expert why yellow stain; V: fix (labor)</t>
  </si>
  <si>
    <t xml:space="preserve">Garage shelf - install</t>
  </si>
  <si>
    <t xml:space="preserve">W2-21</t>
  </si>
  <si>
    <t xml:space="preserve">A selects; V installs</t>
  </si>
  <si>
    <t xml:space="preserve">Tool box / shelf from Delray storage</t>
  </si>
  <si>
    <t xml:space="preserve">W3-13</t>
  </si>
  <si>
    <t xml:space="preserve">A + H</t>
  </si>
  <si>
    <t xml:space="preserve">Transport + place; Organize storage (H &amp; A); transport tool box to property (H &amp; A)</t>
  </si>
  <si>
    <t xml:space="preserve">Pre-final alignment punch - doors, door handles, drawers, closet doors</t>
  </si>
  <si>
    <t xml:space="preserve">W2-20</t>
  </si>
  <si>
    <t xml:space="preserve">Alignment pass before final punch list; could be done W2</t>
  </si>
  <si>
    <t xml:space="preserve">CLOSEOUT</t>
  </si>
  <si>
    <t xml:space="preserve">Final inspections - all trades</t>
  </si>
  <si>
    <t xml:space="preserve">W3-14</t>
  </si>
  <si>
    <t xml:space="preserve">Roofing, windows/doors, electrical, plumbing, mechanical</t>
  </si>
  <si>
    <t xml:space="preserve">Permit closeout / CO or CC</t>
  </si>
  <si>
    <t xml:space="preserve">W3-15</t>
  </si>
  <si>
    <t xml:space="preserve">Incl. curing old AC permit violation</t>
  </si>
  <si>
    <t xml:space="preserve">Punch list walkthrough</t>
  </si>
  <si>
    <t xml:space="preserve">W3-17</t>
  </si>
  <si>
    <t xml:space="preserve">Final window cleaning</t>
  </si>
  <si>
    <t xml:space="preserve">W3-16</t>
  </si>
  <si>
    <t xml:space="preserve">Along with final pressure wash</t>
  </si>
  <si>
    <t xml:space="preserve">Final deep clean</t>
  </si>
  <si>
    <t xml:space="preserve">W3-18</t>
  </si>
  <si>
    <t xml:space="preserve">Staging / photos (if listing)</t>
  </si>
  <si>
    <t xml:space="preserve">W3-19</t>
  </si>
  <si>
    <t xml:space="preserve">TOTALS</t>
  </si>
  <si>
    <t xml:space="preserve">EXTERIOR</t>
  </si>
  <si>
    <t xml:space="preserve">Roof</t>
  </si>
  <si>
    <t xml:space="preserve">Roof replacement</t>
  </si>
  <si>
    <t xml:space="preserve">Paid in full; final inspection pending</t>
  </si>
  <si>
    <t xml:space="preserve">Gutters and downspouts</t>
  </si>
  <si>
    <t xml:space="preserve">Fascia - 100% replacement + caulking</t>
  </si>
  <si>
    <t xml:space="preserve">100% caulked</t>
  </si>
  <si>
    <t xml:space="preserve">Fascia + trim repaint</t>
  </si>
  <si>
    <t xml:space="preserve">W2-05</t>
  </si>
  <si>
    <t xml:space="preserve">H: repaint + change color; A: confirm color choice</t>
  </si>
  <si>
    <t xml:space="preserve">Soffit - replace vents, paint vents</t>
  </si>
  <si>
    <t xml:space="preserve">H: install vents, paint vents, remove old mesh</t>
  </si>
  <si>
    <t xml:space="preserve">Envelope</t>
  </si>
  <si>
    <t xml:space="preserve">Stucco repair</t>
  </si>
  <si>
    <t xml:space="preserve">Stucco texture</t>
  </si>
  <si>
    <t xml:space="preserve">W2-04</t>
  </si>
  <si>
    <t xml:space="preserve">A: find stucco sub</t>
  </si>
  <si>
    <t xml:space="preserve">Paint over textured stucco areas</t>
  </si>
  <si>
    <t xml:space="preserve">Exterior pressure washing - final closeout</t>
  </si>
  <si>
    <t xml:space="preserve">Along with final window cleaning</t>
  </si>
  <si>
    <t xml:space="preserve">Exterior paint - full house</t>
  </si>
  <si>
    <t xml:space="preserve">ARB approved</t>
  </si>
  <si>
    <t xml:space="preserve">Windows/Doors</t>
  </si>
  <si>
    <t xml:space="preserve">Impact windows + doors installation</t>
  </si>
  <si>
    <t xml:space="preserve">Paid in full ($300 credit applied); final inspection pending; remaining: decorative door panels + close-out trim</t>
  </si>
  <si>
    <t xml:space="preserve">Patio (sliding) doors</t>
  </si>
  <si>
    <t xml:space="preserve">Installed</t>
  </si>
  <si>
    <t xml:space="preserve">Front entry door</t>
  </si>
  <si>
    <t xml:space="preserve">W1-15</t>
  </si>
  <si>
    <t xml:space="preserve">Design pending; decorative door panels per window contract; A: call Reylos to schedule final install</t>
  </si>
  <si>
    <t xml:space="preserve">Grid decoration - patio doors + kitchen door</t>
  </si>
  <si>
    <t xml:space="preserve">Included in window contract remaining work; A: call Reylos to schedule final install</t>
  </si>
  <si>
    <t xml:space="preserve">Exterior door handles</t>
  </si>
  <si>
    <t xml:space="preserve">W3-12</t>
  </si>
  <si>
    <t xml:space="preserve">Garage door (exterior) - hurricane rated</t>
  </si>
  <si>
    <t xml:space="preserve">W2-11</t>
  </si>
  <si>
    <t xml:space="preserve">V+H / A</t>
  </si>
  <si>
    <t xml:space="preserve">Swap with Jupiter unit; permit pending; $5,500-$7,500 installed range (HVHZ/wind-load compliance); incl. removal, reinforced tracks, wind-load hardware, motor reconnect, final inspection; A: rental van needed for transport</t>
  </si>
  <si>
    <t xml:space="preserve">Interior garage door (house-to-garage) replacement</t>
  </si>
  <si>
    <t xml:space="preserve">A purchases; V installs. House-to-garage door must meet code (solid/fire-rated, self-closing) - verify</t>
  </si>
  <si>
    <t xml:space="preserve">Garage door opener</t>
  </si>
  <si>
    <t xml:space="preserve">Install pending</t>
  </si>
  <si>
    <t xml:space="preserve">Hardscape</t>
  </si>
  <si>
    <t xml:space="preserve">Driveway pavers</t>
  </si>
  <si>
    <t xml:space="preserve">W1-19</t>
  </si>
  <si>
    <t xml:space="preserve">A / S</t>
  </si>
  <si>
    <t xml:space="preserve">Order ready - arrange delivery + pallet placement; permit resubmission in process; labor $6,200-$7,000 + material ~$2,000 + sealant $2,000; 2-3 days on site; contact labor team; A: contact labor guy, contact supplier, arrange delivery; S does install; A: coordinate sub, arrange delivery, process permit, appointment for final quote, try to meet on site Monday. Session quote $15-18k [26:43] vs $10,000 here - reconcile. Lay after dumpster removal; sleeves for sprinklers/lighting first</t>
  </si>
  <si>
    <t xml:space="preserve">Paver brick sealing</t>
  </si>
  <si>
    <t xml:space="preserve">W2-06</t>
  </si>
  <si>
    <t xml:space="preserve">~$2,000 - included in driveway paver line above</t>
  </si>
  <si>
    <t xml:space="preserve">Driveway asphalt overlay</t>
  </si>
  <si>
    <t xml:space="preserve">Permit required (3-5 day review); HOA 2-3 days; 2-3 days labor; no concrete walkway included - confirm if alternative to pavers</t>
  </si>
  <si>
    <t xml:space="preserve">Entry tile installation (walkway now part of pavers)</t>
  </si>
  <si>
    <t xml:space="preserve">W2-07</t>
  </si>
  <si>
    <t xml:space="preserve">Material ~$600; repair 2+ concrete sections (Victor, 2 days @ $300/day); cut root beneath slab; level surface; tile installer 2 days $600-$800; open sides + vertical tile if metal trim edge desired; generates demo waste; direct supervision required; REVISED SCOPE: walkway stays concrete - covered under pavers; S tiles ENTRY at same time as shower tile; A: tile selection; tile MUST happen BEFORE pavers</t>
  </si>
  <si>
    <t xml:space="preserve">Patio - drainage + repairs</t>
  </si>
  <si>
    <t xml:space="preserve">W2-08</t>
  </si>
  <si>
    <t xml:space="preserve">V / H / S</t>
  </si>
  <si>
    <t xml:space="preserve">Cost TBD - inspect drain system, repair as needed, install side drain cover, replace metal screen piece near drain, protect adjacent tile; finish drain pipes; glue broken tile; V: fix drain; H: make hole + cover with soil; S (tile): fix broken piece</t>
  </si>
  <si>
    <t xml:space="preserve">Landscape</t>
  </si>
  <si>
    <t xml:space="preserve">Front yard design</t>
  </si>
  <si>
    <t xml:space="preserve">W1-16</t>
  </si>
  <si>
    <t xml:space="preserve">Design decision pending; A: obtain labor quote + materials quote; provide Jaime with design proposal</t>
  </si>
  <si>
    <t xml:space="preserve">Backyard design</t>
  </si>
  <si>
    <t xml:space="preserve">TBD - deck proposal under review; permit may be required depending on deck size; A: obtain labor quote + materials quote; provide Jaime with design proposal</t>
  </si>
  <si>
    <t xml:space="preserve">Side yard design</t>
  </si>
  <si>
    <t xml:space="preserve">TBD; A: obtain labor quote + materials quote; provide Jaime with design proposal</t>
  </si>
  <si>
    <t xml:space="preserve">Grass installation (front only)</t>
  </si>
  <si>
    <t xml:space="preserve">W3-11</t>
  </si>
  <si>
    <t xml:space="preserve">TBD; With landscape build-out; timing W1-W3 depending on design decision + sub availability</t>
  </si>
  <si>
    <t xml:space="preserve">Tree trimming / removal</t>
  </si>
  <si>
    <t xml:space="preserve">W2-10</t>
  </si>
  <si>
    <t xml:space="preserve">Possible side palm removal; landscape build-out</t>
  </si>
  <si>
    <t xml:space="preserve">Sprinkler system</t>
  </si>
  <si>
    <t xml:space="preserve">W2-09</t>
  </si>
  <si>
    <t xml:space="preserve">Check all heads; verify timer operation all 3 zones; replace broken pipes as needed; S: repair, verify timer, build pipelines as needed</t>
  </si>
  <si>
    <t xml:space="preserve">Sprinkler pump box cover</t>
  </si>
  <si>
    <t xml:space="preserve">A: buy or inquire</t>
  </si>
  <si>
    <t xml:space="preserve">Fence</t>
  </si>
  <si>
    <t xml:space="preserve">Pool</t>
  </si>
  <si>
    <t xml:space="preserve">Pool (resurfacing, equipment, deck)</t>
  </si>
  <si>
    <t xml:space="preserve">No pool</t>
  </si>
  <si>
    <t xml:space="preserve">Screen Enclosure</t>
  </si>
  <si>
    <t xml:space="preserve">Rescreen + structure pressure wash and paint</t>
  </si>
  <si>
    <t xml:space="preserve">Screen door - alignment + lock functionality</t>
  </si>
  <si>
    <t xml:space="preserve">Confirm alignment and lock work</t>
  </si>
  <si>
    <t xml:space="preserve">Exterior light fixtures</t>
  </si>
  <si>
    <t xml:space="preserve">Install flood lights and sconces (floodlight in electrical contract)</t>
  </si>
  <si>
    <t xml:space="preserve">House numbers and mailbox</t>
  </si>
  <si>
    <t xml:space="preserve">Verify condition</t>
  </si>
  <si>
    <t xml:space="preserve">Hose bibs</t>
  </si>
  <si>
    <t xml:space="preserve">Repaired / replaced as needed</t>
  </si>
  <si>
    <t xml:space="preserve">N16</t>
  </si>
  <si>
    <t xml:space="preserve">Gazebo / outdoor BBQ area (if kept in scope)</t>
  </si>
  <si>
    <t xml:space="preserve">Added from 21-Sep session [13:15]: BBQ area proposed by Andres; gazebo permit already in Pre-Construction. Build only if it fits the ARV budget cap</t>
  </si>
  <si>
    <t xml:space="preserve">JUPITER RENOVATION - SCHEDULE EXECUTIVE SUMMARY</t>
  </si>
  <si>
    <t xml:space="preserve">Prepared Sep 24, 2026 from session 2026-ACTA-JUPITER-01 (Sep 21, 2026) and the existing Scope Checklist. Dates are live formulas from Schedule Logic.</t>
  </si>
  <si>
    <t xml:space="preserve">1. KEY DATES (proposed baseline)</t>
  </si>
  <si>
    <t xml:space="preserve">Baseline start (input in Schedule Logic!C3)</t>
  </si>
  <si>
    <t xml:space="preserve">Permits issued (GC master + M/E/P)</t>
  </si>
  <si>
    <t xml:space="preserve">Underground plumbing inspection passed</t>
  </si>
  <si>
    <t xml:space="preserve">Framing + MEP rough-in inspections passed</t>
  </si>
  <si>
    <t xml:space="preserve">Demo/Structure phase complete (primer done)</t>
  </si>
  <si>
    <t xml:space="preserve">Shower waterproofing inspections passed (both baths)</t>
  </si>
  <si>
    <t xml:space="preserve">Kitchen countertops installed</t>
  </si>
  <si>
    <t xml:space="preserve">Flooring complete (tile + LVP)</t>
  </si>
  <si>
    <t xml:space="preserve">Finish trades ready for MEP trim</t>
  </si>
  <si>
    <t xml:space="preserve">Kitchen complete (appliances installed)</t>
  </si>
  <si>
    <t xml:space="preserve">Baths complete (glass + fixtures)</t>
  </si>
  <si>
    <t xml:space="preserve">Certificate of Completion / permits closed</t>
  </si>
  <si>
    <t xml:space="preserve">PROJECT COMPLETE - staged + photographed (listing-ready)</t>
  </si>
  <si>
    <t xml:space="preserve">Working days, baseline -&gt; listing-ready</t>
  </si>
  <si>
    <t xml:space="preserve">Estimated effort, all scheduled activities (hrs)</t>
  </si>
  <si>
    <t xml:space="preserve">Critical path</t>
  </si>
  <si>
    <t xml:space="preserve">Spec sheets + Jaime approval -&gt; A&amp;E plans + seal -&gt; permit package -&gt; GC master + M/E/P permits (~20 wd review) -&gt; framing + rough-ins -&gt; N4 inspection -&gt; drywall -&gt; shower liner/board/waterproofing inspections -&gt; bath tile -&gt; paint -&gt; vanity tops -&gt; MEP trim -&gt; final inspections -&gt; CO/CC -&gt; staging</t>
  </si>
  <si>
    <t xml:space="preserve">2. WHAT WAS ADDED</t>
  </si>
  <si>
    <t xml:space="preserve">Schedule Logic sheet (new)</t>
  </si>
  <si>
    <t xml:space="preserve">One row per activity: predecessor, lag, duration (working days), effort, owner and source. Start/End are WORKDAY formulas excluding weekends + holidays; Scope Checklist columns F-H link to it, so changing the baseline or any duration re-plans everything.</t>
  </si>
  <si>
    <t xml:space="preserve">Dates, durations and effort for every open activity</t>
  </si>
  <si>
    <t xml:space="preserve">Pre-Construction, Demo/Structure, Electrical, Plumbing, HVAC, Kitchen, both Baths, Finishes, Closeout and Exterior. Complete / Not Needed rows are left undated.</t>
  </si>
  <si>
    <t xml:space="preserve">16 activities added from the session (N1-N16)</t>
  </si>
  <si>
    <t xml:space="preserve">N1 site protection + inventory; N2 structural engineer review; N3 slab patch; N4 framing + MEP rough-in inspection gate; N5 primer; N6 electrical make-safe; N7 electrical rough-in; N8 underground DWV + inspection; N9 supply top-out; N10 duct modifications; N11 just-in-time cabinet order; N12 appliance hook-ups; N13 shower waterproofing inspection gate; N14 floor tile; N15 trim carpentry; N16 gazebo/BBQ (optional).</t>
  </si>
  <si>
    <t xml:space="preserve">Milestones + effort totals</t>
  </si>
  <si>
    <t xml:space="preserve">Milestones for permits, each inspection gate, trade completion, CO/CC and listing-ready; effort hours per section to size admin/technical support.</t>
  </si>
  <si>
    <t xml:space="preserve">Verification flags (cell comments)</t>
  </si>
  <si>
    <t xml:space="preserve">Rows whose status, cost or notes look carried over from the previous property template are flagged instead of silently changed.</t>
  </si>
  <si>
    <t xml:space="preserve">Dashboard sheet (new)</t>
  </si>
  <si>
    <t xml:space="preserve">One-screen project control indexed to the schedule: status date, planned vs actual % (hours-weighted), late activities, health (SPI), progress by section, milestones, top-5 late activities and a planned-vs-actual chart.</t>
  </si>
  <si>
    <t xml:space="preserve">Automatic progress logging (new)</t>
  </si>
  <si>
    <t xml:space="preserve">Progress Log (daily) and Weekly Log sheets filled by the ProgressLogger VBA macro on open, on save and via a Dashboard button; they feed the Dashboard chart. Installer and code in the automation/ folder.</t>
  </si>
  <si>
    <t xml:space="preserve">Data hygiene</t>
  </si>
  <si>
    <t xml:space="preserve">Status dropdown removed from date/effort columns; Summary ranges extended to new rows; Pre-Construction portal row now counted in Summary.</t>
  </si>
  <si>
    <t xml:space="preserve">3. BEST PRACTICES APPLIED</t>
  </si>
  <si>
    <t xml:space="preserve">Dependency-driven schedule (CPM)</t>
  </si>
  <si>
    <t xml:space="preserve">Every date derives from predecessors (finish-to-start / start-to-start + lag), never typed by hand, so the critical path and float stay visible and re-plan automatically.</t>
  </si>
  <si>
    <t xml:space="preserve">Inspections modeled as gates / milestones</t>
  </si>
  <si>
    <t xml:space="preserve">Per the session [35:22]-[56:43]: underground, rough-in, liner flood test, cement board and waterproofing inspections each gate the next trade - "many milestones".</t>
  </si>
  <si>
    <t xml:space="preserve">Rolling-wave planning with explicit placeholders</t>
  </si>
  <si>
    <t xml:space="preserve">Where later sections were not yet planned, a single visible provisional anchor was used and later replaced with real links.</t>
  </si>
  <si>
    <t xml:space="preserve">Traceability</t>
  </si>
  <si>
    <t xml:space="preserve">Each duration cites a transcript timestamp, an existing sheet value, or is marked as an industry assumption.</t>
  </si>
  <si>
    <t xml:space="preserve">Just-in-time procurement for long-lead items</t>
  </si>
  <si>
    <t xml:space="preserve">Cabinets (3-4 wk) ordered after framing fixes dimensions and timed to arrive at primer end - defers cash per [28:00].</t>
  </si>
  <si>
    <t xml:space="preserve">Protect finished work</t>
  </si>
  <si>
    <t xml:space="preserve">Site protection first (N1), duct cleaning after dusty work, LVP laid last, floor protection after tile, epoxy and screen door late.</t>
  </si>
  <si>
    <t xml:space="preserve">Resource realism</t>
  </si>
  <si>
    <t xml:space="preserve">Sequenced around named owners (e.g., Victor finishes drywall before shower work); one electrician/plumber trim visit for the whole house.</t>
  </si>
  <si>
    <t xml:space="preserve">Working-day calendar</t>
  </si>
  <si>
    <t xml:space="preserve">Mon-Fri with Veterans Day (city offices), Thanksgiving, Christmas and New Year excluded.</t>
  </si>
  <si>
    <t xml:space="preserve">Non-destructive editing</t>
  </si>
  <si>
    <t xml:space="preserve">Original file untouched; existing rows, notes, costs and formulas preserved; changes versioned in git.</t>
  </si>
  <si>
    <t xml:space="preserve">Budget gate before scope</t>
  </si>
  <si>
    <t xml:space="preserve">Per the session thesis [43:15]: spec sheets and permits follow the ARV / max-renovation-budget decision.</t>
  </si>
  <si>
    <t xml:space="preserve">4. DECISIONS / VERIFICATIONS PENDING</t>
  </si>
  <si>
    <t xml:space="preserve">Add a second drywall crew</t>
  </si>
  <si>
    <t xml:space="preserve">Lets shower work start Jan 8 instead of after drywall: MEP trim and completion ~7 working days (~1.5 weeks) earlier.</t>
  </si>
  <si>
    <t xml:space="preserve">Delegate plans + permit admin</t>
  </si>
  <si>
    <t xml:space="preserve">Session [39:37]-[40:04]: drafting/permit follow-up burns the site lead; the permit chain is the critical path.</t>
  </si>
  <si>
    <t xml:space="preserve">Kitchen layout approval by Jaime</t>
  </si>
  <si>
    <t xml:space="preserve">Rejected once [13:21]; any slip past spec-sheet end moves cabinet order and everything after it.</t>
  </si>
  <si>
    <t xml:space="preserve">Bath tile scope</t>
  </si>
  <si>
    <t xml:space="preserve">Full-height walls vs wet zones only [23:27] - changes cost and the ~10-day tile block.</t>
  </si>
  <si>
    <t xml:space="preserve">County / jurisdiction</t>
  </si>
  <si>
    <t xml:space="preserve">Palm Beach vs Martin County [30:34] - defines where the NOC is recorded.</t>
  </si>
  <si>
    <t xml:space="preserve">Template carry-overs</t>
  </si>
  <si>
    <t xml:space="preserve">Statuses/costs flagged in comments (drywall phase 1, plumbing redirects, electrical/HVAC contracts, roof, windows, exterior paint, pavers $10k vs $15-18k quoted).</t>
  </si>
  <si>
    <t xml:space="preserve">Scope conflicts</t>
  </si>
  <si>
    <t xml:space="preserve">Kitchen island (Not Needed vs framing), fence (Not Needed vs removal + permit), asphalt overlay vs pavers, crown molding.</t>
  </si>
  <si>
    <t xml:space="preserve">Summary sheet excludes Exterior</t>
  </si>
  <si>
    <t xml:space="preserve">Pre-existing: Exterior rows sit below the TOTALS row, so Summary and totals do not include them.</t>
  </si>
  <si>
    <t xml:space="preserve">SCHEDULE LOGIC - PRE-CONSTRUCTION, DEMO/STRUCTURE, ELECTRICAL, PLUMBING, FULL PROJECT (proposed baseline)</t>
  </si>
  <si>
    <t xml:space="preserve">Working days Mon-Fri excluding holidays in column M. Edit only the yellow cells (baseline) and blue cells (lag, duration, effort); Start/End recalculate and feed Scope Checklist columns F-H.</t>
  </si>
  <si>
    <t xml:space="preserve">Baseline start</t>
  </si>
  <si>
    <t xml:space="preserve">Set by Andrés/Carlos on 24-Sep-2026 (leaves week of 28-Sep to close ARV / max-budget analysis)</t>
  </si>
  <si>
    <t xml:space="preserve">DASHBOARD HELPERS - formulas only, do not edit (feed the Dashboard sheet)</t>
  </si>
  <si>
    <t xml:space="preserve">Scope row</t>
  </si>
  <si>
    <t xml:space="preserve">Predecessor (logic)</t>
  </si>
  <si>
    <t xml:space="preserve">Lag (wd)</t>
  </si>
  <si>
    <t xml:space="preserve">Duration (wd)</t>
  </si>
  <si>
    <t xml:space="preserve">Start</t>
  </si>
  <si>
    <t xml:space="preserve">End</t>
  </si>
  <si>
    <t xml:space="preserve">Effort (hrs)</t>
  </si>
  <si>
    <t xml:space="preserve">Basis / Source</t>
  </si>
  <si>
    <t xml:space="preserve">Holidays</t>
  </si>
  <si>
    <t xml:space="preserve">Weight (hrs)</t>
  </si>
  <si>
    <t xml:space="preserve">Start #</t>
  </si>
  <si>
    <t xml:space="preserve">End #</t>
  </si>
  <si>
    <t xml:space="preserve">Planned % @ status date</t>
  </si>
  <si>
    <t xml:space="preserve">Earned hrs</t>
  </si>
  <si>
    <t xml:space="preserve">Planned hrs</t>
  </si>
  <si>
    <t xml:space="preserve">Late?</t>
  </si>
  <si>
    <t xml:space="preserve">Late idx</t>
  </si>
  <si>
    <t xml:space="preserve">Look-ahead?</t>
  </si>
  <si>
    <t xml:space="preserve">Look idx</t>
  </si>
  <si>
    <t xml:space="preserve">Veterans Day (city offices closed)</t>
  </si>
  <si>
    <t xml:space="preserve">[10:25]-[11:15] one spec sheet (render) per room; must be validated by Jaime. Gate: max renovation budget from comps/ARV [43:15]</t>
  </si>
  <si>
    <t xml:space="preserve">Thanksgiving</t>
  </si>
  <si>
    <t xml:space="preserve">[31:37] MGO portal - select jurisdiction (Town of Jupiter); confirm county Palm Beach vs Martin [30:34]</t>
  </si>
  <si>
    <t xml:space="preserve">Day after Thanksgiving</t>
  </si>
  <si>
    <t xml:space="preserve">Starts 5 wd after spec sheets start (as-built first)</t>
  </si>
  <si>
    <t xml:space="preserve">[32:44]-[33:38] as-built + proposed plans incl. M/E/P; drafted in-house [38:25] - recommend delegating</t>
  </si>
  <si>
    <t xml:space="preserve">Christmas Eve</t>
  </si>
  <si>
    <t xml:space="preserve">After A&amp;E design</t>
  </si>
  <si>
    <t xml:space="preserve">[39:37]-[39:48] engineer signs/seals before city submittal</t>
  </si>
  <si>
    <t xml:space="preserve">Christmas</t>
  </si>
  <si>
    <t xml:space="preserve">After spec sheets</t>
  </si>
  <si>
    <t xml:space="preserve">[28:00]-[28:29] kitchen cabinets 3-4 wk fabrication = long-lead item; everything else available immediately</t>
  </si>
  <si>
    <t xml:space="preserve">New Year's Day</t>
  </si>
  <si>
    <t xml:space="preserve">Assumption: ARB review ~3 weeks; confirm HOA meeting calendar</t>
  </si>
  <si>
    <t xml:space="preserve">Assumption: submitted together with garage door package</t>
  </si>
  <si>
    <t xml:space="preserve">[26:43] driveway quoted $15-18k; ARB approval before permit</t>
  </si>
  <si>
    <t xml:space="preserve">[12:39] new entrance, fence + lighting concept</t>
  </si>
  <si>
    <t xml:space="preserve">5 wd after provider selection starts</t>
  </si>
  <si>
    <t xml:space="preserve">Needed per trade for sub-permits (County, City, HOA)</t>
  </si>
  <si>
    <t xml:space="preserve">Collected with COI; ongoing document</t>
  </si>
  <si>
    <t xml:space="preserve">License check per trade before permit application</t>
  </si>
  <si>
    <t xml:space="preserve">After sealed plans + portal + COI</t>
  </si>
  <si>
    <t xml:space="preserve">[33:22] city requires independent application per trade under the master project</t>
  </si>
  <si>
    <t xml:space="preserve">After package submittal</t>
  </si>
  <si>
    <t xml:space="preserve">Record before first inspection (FL 713.13); confirm county</t>
  </si>
  <si>
    <t xml:space="preserve">[33:38]-[34:51] master ('papa') permit covers all sub-permits; assumes 1 round of review comments</t>
  </si>
  <si>
    <t xml:space="preserve">5 wd after master permit review starts</t>
  </si>
  <si>
    <t xml:space="preserve">[33:19] Mechanical sub-permit; cures AC items</t>
  </si>
  <si>
    <t xml:space="preserve">[33:16] Electrical sub-permit</t>
  </si>
  <si>
    <t xml:space="preserve">[34:24] Plumbing sub-permit - critical path for baths</t>
  </si>
  <si>
    <t xml:space="preserve">After package + ARB landscaping</t>
  </si>
  <si>
    <t xml:space="preserve">[08:44] existing fence to be removed/replaced</t>
  </si>
  <si>
    <t xml:space="preserve">After package + ARB driveway</t>
  </si>
  <si>
    <t xml:space="preserve">[26:24] driveway; exterior - not on interior critical path</t>
  </si>
  <si>
    <t xml:space="preserve">[13:15] BBQ / outdoor area concept</t>
  </si>
  <si>
    <t xml:space="preserve">After package + ARB garage door</t>
  </si>
  <si>
    <t xml:space="preserve">Garage door replacement permit</t>
  </si>
  <si>
    <t xml:space="preserve">Baseline start -&gt; end of primer (N5)</t>
  </si>
  <si>
    <t xml:space="preserve">Dumpster kept through demo/structure phase</t>
  </si>
  <si>
    <t xml:space="preserve">Baseline start -&gt; closeout</t>
  </si>
  <si>
    <t xml:space="preserve">Ongoing - autopay</t>
  </si>
  <si>
    <t xml:space="preserve">[16:10]-[17:08] protect windows/railings, inventory + cover outlets/switches/smoke detectors; acta: before any new intervention</t>
  </si>
  <si>
    <t xml:space="preserve">Baseline start (feeds A&amp;E design)</t>
  </si>
  <si>
    <t xml:space="preserve">[14:41]-[15:36] load-bearing check of removed walls; trusses bear on perimeter - needs sealed letter</t>
  </si>
  <si>
    <t xml:space="preserve">After site protection</t>
  </si>
  <si>
    <t xml:space="preserve">No permit needed; asbestos test first (industry practice); final skim folded into drywall final</t>
  </si>
  <si>
    <t xml:space="preserve">After GC master permit issued + engineer letter</t>
  </si>
  <si>
    <t xml:space="preserve">[14:41] engineer approval; permitted work cannot start before issuance</t>
  </si>
  <si>
    <t xml:space="preserve">After underground DWV inspection PASS (N8)</t>
  </si>
  <si>
    <t xml:space="preserve">[52:36]-[53:16] underground inspection, then slab + plumbing inspections simultaneously</t>
  </si>
  <si>
    <t xml:space="preserve">After mechanical permit</t>
  </si>
  <si>
    <t xml:space="preserve">V / Sub</t>
  </si>
  <si>
    <t xml:space="preserve">Existing scope note; same crew as N3</t>
  </si>
  <si>
    <t xml:space="preserve">After framing, slabs, panel, electrical rough-in (N7), plumbing top-out (N9) + duct modifications (N10)</t>
  </si>
  <si>
    <t xml:space="preserve">[35:22]-[36:34] each step waits for next-day inspector; buffer for 1 re-inspection</t>
  </si>
  <si>
    <t xml:space="preserve">After inspections PASS</t>
  </si>
  <si>
    <t xml:space="preserve">Hang + tape new partitions; corner bead</t>
  </si>
  <si>
    <t xml:space="preserve">After drywall 2nd phase</t>
  </si>
  <si>
    <t xml:space="preserve">Finish, sand, ceiling final skim</t>
  </si>
  <si>
    <t xml:space="preserve">After drywall final</t>
  </si>
  <si>
    <t xml:space="preserve">[18:17]-[19:44] primer coat on walls + ceilings before wet trades</t>
  </si>
  <si>
    <t xml:space="preserve">FINISH TRADES READY FOR MEP TRIM</t>
  </si>
  <si>
    <t xml:space="preserve">Finish trades ready for MEP trim (milestone)</t>
  </si>
  <si>
    <t xml:space="preserve">After kitchen countertops, both vanity tops, bath + interior paint</t>
  </si>
  <si>
    <t xml:space="preserve">Replaces the provisional primer + 20 wd placeholder; one electrician + plumber trim visit for the whole house</t>
  </si>
  <si>
    <t xml:space="preserve">Baseline start (safety, before trades return)</t>
  </si>
  <si>
    <t xml:space="preserve">[14:34]-[14:41] exposed cables after wall removal</t>
  </si>
  <si>
    <t xml:space="preserve">After electrical permit</t>
  </si>
  <si>
    <t xml:space="preserve">Existing scope; coordinate utility disconnect/reconnect; inspected with rough-in (N4)</t>
  </si>
  <si>
    <t xml:space="preserve">After electrical permit + framing</t>
  </si>
  <si>
    <t xml:space="preserve">[12:07]-[12:38] open kitchen, removed partitions; [33:16] electrical sub-permit</t>
  </si>
  <si>
    <t xml:space="preserve">Trim window (finish trades ready)</t>
  </si>
  <si>
    <t xml:space="preserve">Existing scope: incl. dedicated fridge + oven outlets</t>
  </si>
  <si>
    <t xml:space="preserve">With outlets (same electrician visit)</t>
  </si>
  <si>
    <t xml:space="preserve">Cans set at rough-in (N7); trims after paint</t>
  </si>
  <si>
    <t xml:space="preserve">1 wd after outlets start</t>
  </si>
  <si>
    <t xml:space="preserve">Existing scope: patio, master, bed 2, bed 3, living</t>
  </si>
  <si>
    <t xml:space="preserve">2 wd after outlets start</t>
  </si>
  <si>
    <t xml:space="preserve">Existing scope: reposition box at rough-in</t>
  </si>
  <si>
    <t xml:space="preserve">After outlets (vanities + tile in place)</t>
  </si>
  <si>
    <t xml:space="preserve">Existing scope</t>
  </si>
  <si>
    <t xml:space="preserve">After outlets</t>
  </si>
  <si>
    <t xml:space="preserve">[16:49]-[16:55] detectors covered during works; replace at trim</t>
  </si>
  <si>
    <t xml:space="preserve">Umbrella: make-safe start -&gt; last electrical item</t>
  </si>
  <si>
    <t xml:space="preserve">Contract envelope; hours carried by the detail rows</t>
  </si>
  <si>
    <t xml:space="preserve">After plumbing permit (3 wd work + 1 wd inspection)</t>
  </si>
  <si>
    <t xml:space="preserve">[50:25]-[52:36] missing trap -&gt; sewer gas -&gt; shower rebuilt; [52:23] underground inspection before slab</t>
  </si>
  <si>
    <t xml:space="preserve">After slab patch (N3)</t>
  </si>
  <si>
    <t xml:space="preserve">[53:00]-[53:16] inspector checks penetrations + blocking</t>
  </si>
  <si>
    <t xml:space="preserve">After top-out (quantities known)</t>
  </si>
  <si>
    <t xml:space="preserve">Buy P-traps/supply lines early; only long-lead item is kitchen cabinets [28:29]</t>
  </si>
  <si>
    <t xml:space="preserve">Existing scope: ~3 days at Victor's daily rate</t>
  </si>
  <si>
    <t xml:space="preserve">With final plumbing labor</t>
  </si>
  <si>
    <t xml:space="preserve">After mechanical permit + framing</t>
  </si>
  <si>
    <t xml:space="preserve">[33:19] mechanical sub-permit; [12:07] removed partitions; must be in before N4 inspection</t>
  </si>
  <si>
    <t xml:space="preserve">After primer (dusty work finished)</t>
  </si>
  <si>
    <t xml:space="preserve">Industry practice: clean ducts after sanding, not before</t>
  </si>
  <si>
    <t xml:space="preserve">After primer (with duct cleaning visit)</t>
  </si>
  <si>
    <t xml:space="preserve">Existing scope: part of maintenance line</t>
  </si>
  <si>
    <t xml:space="preserve">Same visit as coil cleaning</t>
  </si>
  <si>
    <t xml:space="preserve">Existing scope: purchase early, install after final paint</t>
  </si>
  <si>
    <t xml:space="preserve">Umbrella: AC slab repair start -&gt; last maintenance item</t>
  </si>
  <si>
    <t xml:space="preserve">Contract envelope ($2,100); hours carried by the detail rows</t>
  </si>
  <si>
    <t xml:space="preserve">After framing (dimensions fixed) + provider selection</t>
  </si>
  <si>
    <t xml:space="preserve">[28:00]-[29:44] fabrication 3-4 wk; cash constraint -&gt; order just in time; [13:21] layout needs Jaime approval</t>
  </si>
  <si>
    <t xml:space="preserve">After primer, cabinet delivery + floor tile</t>
  </si>
  <si>
    <t xml:space="preserve">Sheet: install by manufacturer 1-2 days max; A + V verify quality on site. Vanities follow the bath sequence</t>
  </si>
  <si>
    <t xml:space="preserve">After cabinets set (field template)</t>
  </si>
  <si>
    <t xml:space="preserve">Sheet: template after cabinets set -&gt; ~5 business days fabrication -&gt; install 1-2 days; same slab for vanities/thresholds saves $</t>
  </si>
  <si>
    <t xml:space="preserve">5 wd into cabinet fabrication (must be on site for template)</t>
  </si>
  <si>
    <t xml:space="preserve">Undermount sink needed for countertop cut-out</t>
  </si>
  <si>
    <t xml:space="preserve">5 wd into cabinet fabrication</t>
  </si>
  <si>
    <t xml:space="preserve">Verify if already purchased; faucet hole count for template</t>
  </si>
  <si>
    <t xml:space="preserve">5 wd into cabinet fabrication (specs frozen before order)</t>
  </si>
  <si>
    <t xml:space="preserve">Sheet: appliance package; fridge + cooktop + hood dimensions drive cabinet order and countertop cut-outs</t>
  </si>
  <si>
    <t xml:space="preserve">After countertops + electrical/plumbing trim</t>
  </si>
  <si>
    <t xml:space="preserve">Dedicated circuits from rough-in (N7); DW/disposal need final plumbing</t>
  </si>
  <si>
    <t xml:space="preserve">With electrical trim (after countertops/backsplash)</t>
  </si>
  <si>
    <t xml:space="preserve">Existing scope: transformer + LED strip / puck lights</t>
  </si>
  <si>
    <t xml:space="preserve">BATH - MASTER (shower sequence covers both baths)</t>
  </si>
  <si>
    <t xml:space="preserve">After provider selection (needed before liner)</t>
  </si>
  <si>
    <t xml:space="preserve">Existing scope: clamping shower drains, both baths</t>
  </si>
  <si>
    <t xml:space="preserve">With kitchen sink purchase</t>
  </si>
  <si>
    <t xml:space="preserve">Must be on site for vanity-top template</t>
  </si>
  <si>
    <t xml:space="preserve">After framing (checked in N4)</t>
  </si>
  <si>
    <t xml:space="preserve">[53:04]-[53:16] wood blocking to hold the liner + metal framing spacing are checked by inspectors; both baths</t>
  </si>
  <si>
    <t xml:space="preserve">After rough-in inspections PASS (tub power in N7)</t>
  </si>
  <si>
    <t xml:space="preserve">Existing scope: set tub before wall tile</t>
  </si>
  <si>
    <t xml:space="preserve">After drywall final (Victor free): pre-slope, liner, 24 h flood test + inspection</t>
  </si>
  <si>
    <t xml:space="preserve">[53:16]-[53:38] liner flat, no folds; [55:37] flood test with drain plugged</t>
  </si>
  <si>
    <t xml:space="preserve">After liner flood test PASS</t>
  </si>
  <si>
    <t xml:space="preserve">[54:00]-[54:42] board screw spacing inspected; seams cemented; anti-mold membrane inspected</t>
  </si>
  <si>
    <t xml:space="preserve">With cement board</t>
  </si>
  <si>
    <t xml:space="preserve">Existing scope; power from N7</t>
  </si>
  <si>
    <t xml:space="preserve">Before tile starts</t>
  </si>
  <si>
    <t xml:space="preserve">Existing scope: color + count</t>
  </si>
  <si>
    <t xml:space="preserve">After both baths waterproofed</t>
  </si>
  <si>
    <t xml:space="preserve">[54:20]-[54:53] each step is an inspection; [55:16] many milestones = one per inspection</t>
  </si>
  <si>
    <t xml:space="preserve">After waterproofing inspection PASS</t>
  </si>
  <si>
    <t xml:space="preserve">Sheet: ~10 days both baths; [35:22] tiler does not wait when inspections are passed</t>
  </si>
  <si>
    <t xml:space="preserve">After tile + grout</t>
  </si>
  <si>
    <t xml:space="preserve">With bath paint</t>
  </si>
  <si>
    <t xml:space="preserve">After bath tile + paint (2nd cabinet-maker visit)</t>
  </si>
  <si>
    <t xml:space="preserve">Vanities are in the kitchen cabinet contract; kitchen is installed before the baths are tiled</t>
  </si>
  <si>
    <t xml:space="preserve">After vanities set: template -&gt; ~5 d fabrication -&gt; install</t>
  </si>
  <si>
    <t xml:space="preserve">Same slab as kitchen saves $</t>
  </si>
  <si>
    <t xml:space="preserve">Same stone template/fabrication/install trip</t>
  </si>
  <si>
    <t xml:space="preserve">After threshold + bench: measure -&gt; ~4 d fabrication -&gt; 1-2 d install</t>
  </si>
  <si>
    <t xml:space="preserve">Sheet: Gino quote + install</t>
  </si>
  <si>
    <t xml:space="preserve">After vanity tops</t>
  </si>
  <si>
    <t xml:space="preserve">Verify vanity height</t>
  </si>
  <si>
    <t xml:space="preserve">After floor tile + bath paint</t>
  </si>
  <si>
    <t xml:space="preserve">New wax ring; flange if needed</t>
  </si>
  <si>
    <t xml:space="preserve">Purchase early, install at trim</t>
  </si>
  <si>
    <t xml:space="preserve">With electrical trim</t>
  </si>
  <si>
    <t xml:space="preserve">Duct coupling done in N10</t>
  </si>
  <si>
    <t xml:space="preserve">Same days as master liner (one flood-test inspection)</t>
  </si>
  <si>
    <t xml:space="preserve">[55:37] flood test</t>
  </si>
  <si>
    <t xml:space="preserve">Same days as master cement board</t>
  </si>
  <si>
    <t xml:space="preserve">[54:00]-[54:42]</t>
  </si>
  <si>
    <t xml:space="preserve">Second half of the 10-day tile block</t>
  </si>
  <si>
    <t xml:space="preserve">Labor + hours carried in the master tile row</t>
  </si>
  <si>
    <t xml:space="preserve">Same cabinet-maker visit as master</t>
  </si>
  <si>
    <t xml:space="preserve">Same stone trip as master</t>
  </si>
  <si>
    <t xml:space="preserve">After threshold set</t>
  </si>
  <si>
    <t xml:space="preserve">Existing inventory glass with black hardware; V confirms width</t>
  </si>
  <si>
    <t xml:space="preserve">After vanity top</t>
  </si>
  <si>
    <t xml:space="preserve">Verify power supply</t>
  </si>
  <si>
    <t xml:space="preserve">After primer; before kitchen cabinets</t>
  </si>
  <si>
    <t xml:space="preserve">[17:08]-[17:26] floor before baseboards; continuous floor under cabinets; protect after install</t>
  </si>
  <si>
    <t xml:space="preserve">After floor tile</t>
  </si>
  <si>
    <t xml:space="preserve">Existing scope: inspect grout 100% + clean</t>
  </si>
  <si>
    <t xml:space="preserve">[12:07] frames/doors/baseboards removed; [17:26] baseboards only after floor</t>
  </si>
  <si>
    <t xml:space="preserve">1 wd after trim carpentry starts</t>
  </si>
  <si>
    <t xml:space="preserve">Existing scope: doors + hardware</t>
  </si>
  <si>
    <t xml:space="preserve">After trim carpentry (caulk lines painted once)</t>
  </si>
  <si>
    <t xml:space="preserve">[18:17] primer done in N5; finish coats after trim</t>
  </si>
  <si>
    <t xml:space="preserve">Within interior paint window</t>
  </si>
  <si>
    <t xml:space="preserve">Existing scope: caulk + paint</t>
  </si>
  <si>
    <t xml:space="preserve">Existing scope - confirm crown exists</t>
  </si>
  <si>
    <t xml:space="preserve">After interior paint (last floor, avoids paint damage)</t>
  </si>
  <si>
    <t xml:space="preserve">Existing scope: bedrooms</t>
  </si>
  <si>
    <t xml:space="preserve">After LVP</t>
  </si>
  <si>
    <t xml:space="preserve">After LVP + paint</t>
  </si>
  <si>
    <t xml:space="preserve">Existing scope: IKEA purchase, assemble, install</t>
  </si>
  <si>
    <t xml:space="preserve">1 wd after master closet starts</t>
  </si>
  <si>
    <t xml:space="preserve">After interior paint (selection approved in spec sheets)</t>
  </si>
  <si>
    <t xml:space="preserve">After interior paint (garage used for staging/storage until then)</t>
  </si>
  <si>
    <t xml:space="preserve">Existing scope: repair + epoxy</t>
  </si>
  <si>
    <t xml:space="preserve">After epoxy cures</t>
  </si>
  <si>
    <t xml:space="preserve">After garage shelf</t>
  </si>
  <si>
    <t xml:space="preserve">After doors, closets, flooring, appliances + fixtures</t>
  </si>
  <si>
    <t xml:space="preserve">Existing scope: alignment before final punch</t>
  </si>
  <si>
    <t xml:space="preserve">After all trades + permitted exterior work</t>
  </si>
  <si>
    <t xml:space="preserve">[40:04]-[40:44] sealed plans on site; inspector comments on the sheet; next-day scheduling + 1 re-inspection buffer</t>
  </si>
  <si>
    <t xml:space="preserve">After final inspections</t>
  </si>
  <si>
    <t xml:space="preserve">[40:44] goal = Certificate of Completion; close master + all sub-permits</t>
  </si>
  <si>
    <t xml:space="preserve">In parallel with final inspections (walk + corrections)</t>
  </si>
  <si>
    <t xml:space="preserve">After punch corrections</t>
  </si>
  <si>
    <t xml:space="preserve">Existing scope: with pressure wash</t>
  </si>
  <si>
    <t xml:space="preserve">After window cleaning</t>
  </si>
  <si>
    <t xml:space="preserve">After deep clean, CO/CC + front lawn</t>
  </si>
  <si>
    <t xml:space="preserve">Existing scope: listing-ready</t>
  </si>
  <si>
    <t xml:space="preserve">After ARB exterior paint approval</t>
  </si>
  <si>
    <t xml:space="preserve">Existing scope: repaint + color change</t>
  </si>
  <si>
    <t xml:space="preserve">With fascia repaint</t>
  </si>
  <si>
    <t xml:space="preserve">After ARB exterior approval</t>
  </si>
  <si>
    <t xml:space="preserve">After stucco texture</t>
  </si>
  <si>
    <t xml:space="preserve">With final window cleaning</t>
  </si>
  <si>
    <t xml:space="preserve">After supplier selected: order, fabrication + install</t>
  </si>
  <si>
    <t xml:space="preserve">Assumption: impact-rated entry door ~6-7 wk lead time in South FL - confirm with supplier</t>
  </si>
  <si>
    <t xml:space="preserve">After supplier selected</t>
  </si>
  <si>
    <t xml:space="preserve">Existing scope: window contractor</t>
  </si>
  <si>
    <t xml:space="preserve">After front door</t>
  </si>
  <si>
    <t xml:space="preserve">After garage-door permit: order + install</t>
  </si>
  <si>
    <t xml:space="preserve">Existing scope: hurricane-rated; permit + final inspection</t>
  </si>
  <si>
    <t xml:space="preserve">With interior doors</t>
  </si>
  <si>
    <t xml:space="preserve">Code-rated door - verify</t>
  </si>
  <si>
    <t xml:space="preserve">After garage door</t>
  </si>
  <si>
    <t xml:space="preserve">Alongside spec sheets (proposal to Jaime)</t>
  </si>
  <si>
    <t xml:space="preserve">[12:39] entrance, fence + lighting concept</t>
  </si>
  <si>
    <t xml:space="preserve">[13:15] BBQ idea; deck may need permit</t>
  </si>
  <si>
    <t xml:space="preserve">After ARB landscaping + front design</t>
  </si>
  <si>
    <t xml:space="preserve">Before hardscape (roots, debris)</t>
  </si>
  <si>
    <t xml:space="preserve">After driveway permit + dumpster removed</t>
  </si>
  <si>
    <t xml:space="preserve">Sheet: must happen before pavers</t>
  </si>
  <si>
    <t xml:space="preserve">With entry tile crew</t>
  </si>
  <si>
    <t xml:space="preserve">After permit, dumpster removal, entry tile + tree work</t>
  </si>
  <si>
    <t xml:space="preserve">[26:24]-[27:09] driveway is the item with least cost control; sheet 2-3 days on site</t>
  </si>
  <si>
    <t xml:space="preserve">10 wd after pavers (settling / efflorescence)</t>
  </si>
  <si>
    <t xml:space="preserve">Industry practice: let pavers settle before sealing</t>
  </si>
  <si>
    <t xml:space="preserve">After pavers (sleeves laid before pavers)</t>
  </si>
  <si>
    <t xml:space="preserve">Existing scope: 3 zones, heads, timer</t>
  </si>
  <si>
    <t xml:space="preserve">With sprinkler work</t>
  </si>
  <si>
    <t xml:space="preserve">After sprinklers</t>
  </si>
  <si>
    <t xml:space="preserve">Existing scope: front only</t>
  </si>
  <si>
    <t xml:space="preserve">Late (avoid damage during works)</t>
  </si>
  <si>
    <t xml:space="preserve">[12:39] entrance with good lighting</t>
  </si>
  <si>
    <t xml:space="preserve">After pavers</t>
  </si>
  <si>
    <t xml:space="preserve">After gazebo permit + pavers (if kept in scope)</t>
  </si>
  <si>
    <t xml:space="preserve">[13:15] BBQ proposal</t>
  </si>
  <si>
    <t xml:space="preserve">Milestones</t>
  </si>
  <si>
    <t xml:space="preserve">Electrical complete (trim)</t>
  </si>
  <si>
    <t xml:space="preserve">Plumbing complete (trim)</t>
  </si>
  <si>
    <t xml:space="preserve">HVAC complete (diffusers + thermostat)</t>
  </si>
  <si>
    <t xml:space="preserve">Total effort - Pre-Construction (hrs)</t>
  </si>
  <si>
    <t xml:space="preserve">Total effort - Demo/Structure (hrs)</t>
  </si>
  <si>
    <t xml:space="preserve">Total effort - Electrical (hrs)</t>
  </si>
  <si>
    <t xml:space="preserve">Total effort - Plumbing (hrs)</t>
  </si>
  <si>
    <t xml:space="preserve">Total effort - HVAC (hrs)</t>
  </si>
  <si>
    <t xml:space="preserve">Total effort - Kitchen (hrs)</t>
  </si>
  <si>
    <t xml:space="preserve">Total effort - Bath Master (hrs, incl. tile both baths)</t>
  </si>
  <si>
    <t xml:space="preserve">Total effort - Bath Secondary (hrs)</t>
  </si>
  <si>
    <t xml:space="preserve">Total effort - Interior Finishes (hrs)</t>
  </si>
  <si>
    <t xml:space="preserve">Total effort - Closeout (hrs)</t>
  </si>
  <si>
    <t xml:space="preserve">Total effort - Exterior (hrs)</t>
  </si>
  <si>
    <t xml:space="preserve">Total effort - ALL (hrs)</t>
  </si>
  <si>
    <t xml:space="preserve">3-WEEK EXECUTION PLAN - A = Andres | V = Victor | H = Hans | S = Sub | M = Martin (stone) | G = Gino (glass)</t>
  </si>
  <si>
    <t xml:space="preserve">Codes match 'Exec Order' column on Scope Checklist</t>
  </si>
  <si>
    <t xml:space="preserve">WEEK 1 - UNBLOCK: permits, inspections, decisions, purchases, wet-area rough</t>
  </si>
  <si>
    <t xml:space="preserve">Code</t>
  </si>
  <si>
    <t xml:space="preserve">Task</t>
  </si>
  <si>
    <t xml:space="preserve">Record NOC with Broward County (required before first inspection)</t>
  </si>
  <si>
    <t xml:space="preserve">Push issuance: GC master permit + plumbing sub-permit (bathrooms) - CRITICAL PATH for shower pan inspection</t>
  </si>
  <si>
    <t xml:space="preserve">Driveway permit resubmission</t>
  </si>
  <si>
    <t xml:space="preserve">Windows/doors/garage door permit - push forward; schedule inspection</t>
  </si>
  <si>
    <t xml:space="preserve">Electrical permit: A paperwork; V provides labels for panel, amperage, service</t>
  </si>
  <si>
    <t xml:space="preserve">Mechanical permit (cure AC violation): A paperwork + qualifier ~$800 fee; V photographs equipment label (model + tonnage)</t>
  </si>
  <si>
    <t xml:space="preserve">W1-07</t>
  </si>
  <si>
    <t xml:space="preserve">Roofing - COMPLETE, no further action</t>
  </si>
  <si>
    <t xml:space="preserve">Master bath drywall: finish, compound, sand, paint; detach vanity + back wall; confirm faucet height + countertop height for sink type selection</t>
  </si>
  <si>
    <t xml:space="preserve">A / V / Sub</t>
  </si>
  <si>
    <t xml:space="preserve">HVAC: A hires service (coil clean, coolant, filter, duct check); V demos closet tile + installs new tile at unit</t>
  </si>
  <si>
    <t xml:space="preserve">Panel installed: V adds labels to cover + identifies amperage/service; A schedules + passes inspection</t>
  </si>
  <si>
    <t xml:space="preserve">Mon Jul 6, 11 AM - both at Noel cabinet quality appointment -&gt; release manufacturer install (1-2 days); verify vanities same visit</t>
  </si>
  <si>
    <t xml:space="preserve">A / V / M</t>
  </si>
  <si>
    <t xml:space="preserve">Martin meeting Sat Jul 4 - V attends; M provides quote; A selects stone (kitchen vs vanities vs thresholds - same slab saves $), A purchases + makes down payment</t>
  </si>
  <si>
    <t xml:space="preserve">A purchases: kitchen sink, bath sinks, shower drains (both baths - select + buy); V verifies faucet purchased, if not A buys</t>
  </si>
  <si>
    <t xml:space="preserve">A PURCHASE SESSION (Amazon / online / retail): appliances (marketplace), under-cabinet LED, diffusers, LED mirrors, bath hardware, outlets + switches. V: count smoke detectors, pack + return thermostat via UPS, confirm metal trim color + count, provide fridge depth (width = 36 in)</t>
  </si>
  <si>
    <t xml:space="preserve">Call Reylos to schedule final install; front door design + grid decoration (needed before window final inspection)</t>
  </si>
  <si>
    <t xml:space="preserve">Landscape: obtain labor quote + materials quote; provide Jaime with design proposal (front, backyard deck - permit?, side)</t>
  </si>
  <si>
    <t xml:space="preserve">Shower prep: confirm metal frame distance + shower door frame support, both baths; labor if needed</t>
  </si>
  <si>
    <t xml:space="preserve">Shower sequence, both baths - after permit issuance + plumbing/framing/slab inspections: (1) frame, (2) pan liner + PASS inspection, (3) Durock, (4) waterproofing. Gates all tile</t>
  </si>
  <si>
    <t xml:space="preserve">Pavers: contact labor guy, contact supplier, arrange delivery + pallet placement</t>
  </si>
  <si>
    <t xml:space="preserve">Toilets - both baths: install w/ new wax rings; new flange if necessary; verify supply line + drainage positioning</t>
  </si>
  <si>
    <t xml:space="preserve">W1-21</t>
  </si>
  <si>
    <t xml:space="preserve">Bathtub electrical connection - roughed + READY FOR INSPECTION (in electrical contract); tub sets W2 after inspections pass</t>
  </si>
  <si>
    <t xml:space="preserve">WEEK 2 - PRODUCTION: tile marathon, electrical finish, exterior, paint</t>
  </si>
  <si>
    <t xml:space="preserve">Sub STARTS bathroom tile - both baths (~10 days, runs into W3). Only after W1-18 + inspections. Also open exhaust fan holes so fans are install-ready</t>
  </si>
  <si>
    <t xml:space="preserve">Sub / V</t>
  </si>
  <si>
    <t xml:space="preserve">Electrical finish: outlets/switches/GFCI (incl. dedicated fridge + oven outlets), ceiling fans, chandelier box + install, floodlight, kitchen LED, patio recessed fix, doorbell. V: LED niches ASAP - confirm inventory or order supply (before tile)</t>
  </si>
  <si>
    <t xml:space="preserve">Victor plumbing (~3 days): angle stops, supply lines; inventory check - supply lines, drainage, P-traps for kitchen + bath faucets, toilets (list + purchase gaps)</t>
  </si>
  <si>
    <t xml:space="preserve">S / H</t>
  </si>
  <si>
    <t xml:space="preserve">S: stucco texture (A finds stucco sub); H: paint over textured areas</t>
  </si>
  <si>
    <t xml:space="preserve">H / A</t>
  </si>
  <si>
    <t xml:space="preserve">H: fascia + trim repaint (change color), soffit vents install + paint, remove old mesh; A: confirm color choice</t>
  </si>
  <si>
    <t xml:space="preserve">Pavers: S installs + seals; A coordinates sub, arranges delivery, processes permit, sets final quote appointment, tries to meet on site Monday</t>
  </si>
  <si>
    <t xml:space="preserve">ENTRY TILE (walkway stays concrete - part of pavers): A selects tile; S installs at same time as shower tile; MUST happen before pavers</t>
  </si>
  <si>
    <t xml:space="preserve">Patio drainage: V fixes drain; H makes hole + covers with soil; S (tile) fixes broken piece</t>
  </si>
  <si>
    <t xml:space="preserve">S / A</t>
  </si>
  <si>
    <t xml:space="preserve">S: sprinkler repair, timer verify, build pipelines as needed; A: buy or inquire pump box cover</t>
  </si>
  <si>
    <t xml:space="preserve">Tree trimming, possible side palm removal, landscape build-out</t>
  </si>
  <si>
    <t xml:space="preserve">Garage door swap with Jupiter unit + opener; A: rent van for transport</t>
  </si>
  <si>
    <t xml:space="preserve">Garage floor: A asks expert why yellow stain; V fixes (labor); epoxy</t>
  </si>
  <si>
    <t xml:space="preserve">Interior paint: finish inside + touch-ups</t>
  </si>
  <si>
    <t xml:space="preserve">Inspect + finish paint ALL trim: baseboards, casings, crown, interior doors + hardware, pocket doors (function + paint), master finish trim</t>
  </si>
  <si>
    <t xml:space="preserve">Floor transitions: A buys, V installs; LVP bedrooms; grout inspect + clean 100%</t>
  </si>
  <si>
    <t xml:space="preserve">W2-16</t>
  </si>
  <si>
    <t xml:space="preserve">Martin field measure after cabinets set -&gt; 5-day fabrication clock</t>
  </si>
  <si>
    <t xml:space="preserve">Set tub after inspections pass (electrical connected W1-21)</t>
  </si>
  <si>
    <t xml:space="preserve">IKEA closets: A purchases W1 ASAP; transport V&amp;A or A&amp;H; V assembles + installs (master + second)</t>
  </si>
  <si>
    <t xml:space="preserve">Corner bead + window sills - finish + paint AFTER window inspection</t>
  </si>
  <si>
    <t xml:space="preserve">TBD</t>
  </si>
  <si>
    <t xml:space="preserve">Pre-final alignment punch: doors, door handles, drawers, closet doors</t>
  </si>
  <si>
    <t xml:space="preserve">Laundry shelf + garage shelf: A selects; V installs</t>
  </si>
  <si>
    <t xml:space="preserve">WEEK 3 - FINISH + CLOSE: stone, glass, fixtures, inspections</t>
  </si>
  <si>
    <t xml:space="preserve">Countertop + backsplash install (~5 days after quote; subject to stone purchase + delivery availability); thresholds + bench tops</t>
  </si>
  <si>
    <t xml:space="preserve">Install faucets + sinks - both baths + kitchen (verify vanity heights). (Toilets moved to W1-20)</t>
  </si>
  <si>
    <t xml:space="preserve">G / A / V</t>
  </si>
  <si>
    <t xml:space="preserve">Master: Gino quotes + installs glass. Secondary: existing inventory glass w/ black hardware (A provides); V confirms width</t>
  </si>
  <si>
    <t xml:space="preserve">Install LED mirrors + exhaust fans (master duct coupling; secondary power supply); bath hardware (purchased W1)</t>
  </si>
  <si>
    <t xml:space="preserve">W3-06</t>
  </si>
  <si>
    <t xml:space="preserve">Appliances: final installs/connections as acquired (transport + install runs W1-W2)</t>
  </si>
  <si>
    <t xml:space="preserve">Blinds: V confirms measurements; A selects; approval needed; install</t>
  </si>
  <si>
    <t xml:space="preserve">Grass (front) + landscape build-out - timing W1-W3 per design decision + availability</t>
  </si>
  <si>
    <t xml:space="preserve">Small items: house numbers/mailbox, screen door alignment/lock, exterior handles; interior garage door - A purchases, V installs</t>
  </si>
  <si>
    <t xml:space="preserve">Organize storage; transport tool box to property</t>
  </si>
  <si>
    <t xml:space="preserve">FINAL INSPECTIONS: windows/doors, electrical, plumbing, mechanical (AC violation cured)</t>
  </si>
  <si>
    <t xml:space="preserve">Permit closeout - all permits, CO/CC</t>
  </si>
  <si>
    <t xml:space="preserve">Final pressure wash + window cleaning</t>
  </si>
  <si>
    <t xml:space="preserve">Staging + photos</t>
  </si>
  <si>
    <t xml:space="preserve">Moved</t>
  </si>
  <si>
    <t xml:space="preserve">Earlier: toilets -&gt; W1-20 (V); tub set -&gt; W2-17 (V); closets -&gt; W2-18 (A+V); trim/doors -&gt; W2-14 (H); corner bead -&gt; W2-19 (V); LED mirror/hardware/outlet purchases -&gt; W1-14 (A)</t>
  </si>
  <si>
    <t xml:space="preserve">Critical path: permits -&gt; W1-18 shower sequence -&gt; S tile (10 days) -&gt; Gino measure/fab -&gt; glass install. Stone chain: Jul 4 Martin quote -&gt; Jul 6 cabinets -&gt; field measure -&gt; 5-day fab -&gt; W3-01 install. Entry tile before pavers; pavers permit-dependent.</t>
  </si>
  <si>
    <t xml:space="preserve">PROJECT STATUS &amp; COST SUMMARY</t>
  </si>
  <si>
    <t xml:space="preserve">101 W Bayridge Dr, Weston, FL 33326 - per uploaded cost summary</t>
  </si>
  <si>
    <t xml:space="preserve">Item</t>
  </si>
  <si>
    <t xml:space="preserve">Credits</t>
  </si>
  <si>
    <t xml:space="preserve">Permit / Inspection Status</t>
  </si>
  <si>
    <t xml:space="preserve">Remaining Work</t>
  </si>
  <si>
    <t xml:space="preserve">Roofing</t>
  </si>
  <si>
    <t xml:space="preserve">Roof Replacement</t>
  </si>
  <si>
    <t xml:space="preserve">Final Inspection Pending</t>
  </si>
  <si>
    <t xml:space="preserve">None</t>
  </si>
  <si>
    <t xml:space="preserve">Windows</t>
  </si>
  <si>
    <t xml:space="preserve">Window Installation</t>
  </si>
  <si>
    <t xml:space="preserve">Decorative door panels + close-out trim</t>
  </si>
  <si>
    <t xml:space="preserve">Electrical</t>
  </si>
  <si>
    <t xml:space="preserve">Electrical Work</t>
  </si>
  <si>
    <t xml:space="preserve">Light fixtures + fans, all outlets + switches, kitchen chandelier, exterior floodlight, kitchen LED, bath exhaust fans, bathtub electrical, LED mirrors</t>
  </si>
  <si>
    <t xml:space="preserve">Final Plumbing (labor factored separately)</t>
  </si>
  <si>
    <t xml:space="preserve">~3 days labor at Victor's daily rate</t>
  </si>
  <si>
    <t xml:space="preserve">Tile Work</t>
  </si>
  <si>
    <t xml:space="preserve">Bathroom Tile Installation (labor)</t>
  </si>
  <si>
    <t xml:space="preserve">N/A</t>
  </si>
  <si>
    <t xml:space="preserve">Complete bathroom tile install, both baths; ~10 days</t>
  </si>
  <si>
    <t xml:space="preserve">Shower Glass</t>
  </si>
  <si>
    <t xml:space="preserve">Shower Glass Fabrication + Install</t>
  </si>
  <si>
    <t xml:space="preserve">Fabrication ~4 days; install 1-2 days</t>
  </si>
  <si>
    <t xml:space="preserve">Kitchen Cabinets + Bathroom Vanities</t>
  </si>
  <si>
    <t xml:space="preserve">Install by manufacturer, 1-2 days max</t>
  </si>
  <si>
    <t xml:space="preserve">Stone Countertops + Backsplash</t>
  </si>
  <si>
    <t xml:space="preserve">$50-$75/sq ft; kitchen ~35sf counter + ~25sf backsplash; bath2 ~8sf, master ~11sf; fab ~5 days; cabinets must be installed before field measure</t>
  </si>
  <si>
    <t xml:space="preserve">Appliances</t>
  </si>
  <si>
    <t xml:space="preserve">Appliance Purchase Package</t>
  </si>
  <si>
    <t xml:space="preserve">Samsung oven+micro $3,700; cooktop $650; DW $500; hood $500; disposal $250; wine cooler $450; fridge $1,800; W+D $1,250</t>
  </si>
  <si>
    <t xml:space="preserve">Landscaping</t>
  </si>
  <si>
    <t xml:space="preserve">Sprinkler System</t>
  </si>
  <si>
    <t xml:space="preserve">Check heads; verify timer, all 3 zones; replace broken pipes</t>
  </si>
  <si>
    <t xml:space="preserve">Front Yard Design</t>
  </si>
  <si>
    <t xml:space="preserve">Backyard Design</t>
  </si>
  <si>
    <t xml:space="preserve">Pending Review</t>
  </si>
  <si>
    <t xml:space="preserve">Deck proposal under consideration; permit may be required by deck size</t>
  </si>
  <si>
    <t xml:space="preserve">Side Yard Design</t>
  </si>
  <si>
    <t xml:space="preserve">Grass Installation (Front Only)</t>
  </si>
  <si>
    <t xml:space="preserve">Driveway + Walkway</t>
  </si>
  <si>
    <t xml:space="preserve">Pavers</t>
  </si>
  <si>
    <t xml:space="preserve">Permit Required</t>
  </si>
  <si>
    <t xml:space="preserve">Labor $6,200-$7,000; material ~$2,000; sealant $2,000; permit 3-5 day review; HOA 2-3 days; 2-3 days on site</t>
  </si>
  <si>
    <t xml:space="preserve">Driveway</t>
  </si>
  <si>
    <t xml:space="preserve">Asphalt Overlay</t>
  </si>
  <si>
    <t xml:space="preserve">Permit 3-5 day review; HOA 2-3 days; 2-3 days labor; no concrete walkway</t>
  </si>
  <si>
    <t xml:space="preserve">Walkway</t>
  </si>
  <si>
    <t xml:space="preserve">Tile Installation Proposal</t>
  </si>
  <si>
    <t xml:space="preserve">Material ~$600; Victor concrete repair 2 days @$300/day; root cut; leveling; tile installer 2 days $600-$800</t>
  </si>
  <si>
    <t xml:space="preserve">Drainage</t>
  </si>
  <si>
    <t xml:space="preserve">Patio Drain Inspection + Repair</t>
  </si>
  <si>
    <t xml:space="preserve">Inspect + repair drain; side drain cover; replace metal screen piece; protect adjacent tile</t>
  </si>
  <si>
    <t xml:space="preserve">HVAC</t>
  </si>
  <si>
    <t xml:space="preserve">HVAC Maintenance + Concrete Slab Repair</t>
  </si>
  <si>
    <t xml:space="preserve">Permit + Inspection Required</t>
  </si>
  <si>
    <t xml:space="preserve">Maintenance; slab under equipment needs repair; cost depends in-house vs full replace</t>
  </si>
  <si>
    <t xml:space="preserve">Garage Door</t>
  </si>
  <si>
    <t xml:space="preserve">Hurricane-Rated Garage Door Replacement</t>
  </si>
  <si>
    <t xml:space="preserve">HVHZ/wind-load compliant 16x7 insulated steel; incl. permit, removal, reinforced tracks, wind-load hardware, motor reconnect, final inspection</t>
  </si>
  <si>
    <t xml:space="preserve">TOTAL BALANCE DUE (pending items to 100% completion)</t>
  </si>
  <si>
    <t xml:space="preserve">Note: source PDF states $52,975 pending total; line items above sum higher - reconcile (likely asphalt overlay/walkway as alternates or garage door exclusion)</t>
  </si>
  <si>
    <t xml:space="preserve">PROJECT SPEND SUMMARY</t>
  </si>
  <si>
    <t xml:space="preserve">2025</t>
  </si>
  <si>
    <t xml:space="preserve">2026</t>
  </si>
  <si>
    <t xml:space="preserve">Total</t>
  </si>
  <si>
    <t xml:space="preserve">Checking account (labor + materials + utilities + HOA + services)</t>
  </si>
  <si>
    <t xml:space="preserve">Credit card (labor + materials + utilities + HOA + services)</t>
  </si>
  <si>
    <t xml:space="preserve">SUBTOTAL</t>
  </si>
  <si>
    <t xml:space="preserve">PROJECT TOTAL TO DATE</t>
  </si>
  <si>
    <t xml:space="preserve">RENOVATION SUMMARY BY CATEGORY</t>
  </si>
  <si>
    <t xml:space="preserve">101 W Bayridge Dr, Weston, FL 33326</t>
  </si>
  <si>
    <t xml:space="preserve">Items</t>
  </si>
  <si>
    <t xml:space="preserve">TOTAL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</si>
</sst>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ddd\ mm/dd/yy"/>
    <numFmt numFmtId="166" formatCode="mm/dd/yy\ hh:mm"/>
    <numFmt numFmtId="167" formatCode="0"/>
    <numFmt numFmtId="168" formatCode="0%"/>
    <numFmt numFmtId="169" formatCode="@"/>
    <numFmt numFmtId="170" formatCode="0.0%"/>
    <numFmt numFmtId="171" formatCode="\+0.0;\-0.0;0.0"/>
    <numFmt numFmtId="172" formatCode="0.00"/>
    <numFmt numFmtId="173" formatCode="#,##0;\(#,##0\);0"/>
    <numFmt numFmtId="174" formatCode="\$#,##0;&quot;($&quot;#,##0\);\-"/>
    <numFmt numFmtId="175" formatCode="#,##0"/>
    <numFmt numFmtId="176" formatCode="mm/dd/yy"/>
    <numFmt numFmtId="177" formatCode="General"/>
    <numFmt numFmtId="178" formatCode="\$#,##0.00;&quot;($&quot;#,##0.00\);\-"/>
    <numFmt numFmtId="179" formatCode="\$#,##0.00"/>
  </numFmts>
  <fonts count="4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9"/>
      <color rgb="FF52514E"/>
      <name val="Arial"/>
      <family val="0"/>
      <charset val="1"/>
    </font>
    <font>
      <b val="true"/>
      <sz val="10"/>
      <color rgb="FF0B0B0B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52514E"/>
      <name val="Arial"/>
      <family val="0"/>
      <charset val="1"/>
    </font>
    <font>
      <sz val="9"/>
      <color rgb="FF52514E"/>
      <name val="Arial"/>
      <family val="0"/>
      <charset val="1"/>
    </font>
    <font>
      <sz val="9"/>
      <color rgb="FF0B0B0B"/>
      <name val="Arial"/>
      <family val="0"/>
      <charset val="1"/>
    </font>
    <font>
      <b val="true"/>
      <sz val="8"/>
      <color rgb="FF52514E"/>
      <name val="Arial"/>
      <family val="0"/>
      <charset val="1"/>
    </font>
    <font>
      <b val="true"/>
      <sz val="20"/>
      <color rgb="FF0B0B0B"/>
      <name val="Arial"/>
      <family val="0"/>
      <charset val="1"/>
    </font>
    <font>
      <b val="true"/>
      <sz val="13"/>
      <color rgb="FF0B0B0B"/>
      <name val="Arial"/>
      <family val="0"/>
      <charset val="1"/>
    </font>
    <font>
      <i val="true"/>
      <sz val="8"/>
      <color rgb="FF8A8985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color rgb="FF0B0B0B"/>
      <name val="Arial"/>
      <family val="0"/>
      <charset val="1"/>
    </font>
    <font>
      <b val="true"/>
      <sz val="9"/>
      <color rgb="FFD03B3B"/>
      <name val="Arial"/>
      <family val="0"/>
      <charset val="1"/>
    </font>
    <font>
      <sz val="10"/>
      <name val="Arial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4"/>
      <color rgb="FF1F3864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9"/>
      <color rgb="FF0B0B0B"/>
      <name val="Arial"/>
      <family val="0"/>
      <charset val="1"/>
    </font>
    <font>
      <sz val="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i val="true"/>
      <sz val="9"/>
      <color rgb="FF808080"/>
      <name val="Arial"/>
      <family val="0"/>
      <charset val="1"/>
    </font>
    <font>
      <i val="true"/>
      <sz val="9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sz val="10"/>
      <color rgb="FF808080"/>
      <name val="Arial"/>
      <family val="0"/>
      <charset val="1"/>
    </font>
    <font>
      <b val="true"/>
      <sz val="10"/>
      <color rgb="FF548235"/>
      <name val="Arial"/>
      <family val="0"/>
      <charset val="1"/>
    </font>
    <font>
      <u val="single"/>
      <sz val="11"/>
      <color theme="10"/>
      <name val="Calibri"/>
      <family val="2"/>
      <charset val="1"/>
    </font>
    <font>
      <b val="true"/>
      <sz val="10"/>
      <color theme="9" tint="-0.25"/>
      <name val="Arial"/>
      <family val="2"/>
      <charset val="1"/>
    </font>
    <font>
      <b val="true"/>
      <sz val="10"/>
      <color rgb="FF808080"/>
      <name val="Arial"/>
      <family val="0"/>
      <charset val="1"/>
    </font>
    <font>
      <b val="true"/>
      <sz val="10"/>
      <color rgb="FFBF8F00"/>
      <name val="Arial"/>
      <family val="0"/>
      <charset val="1"/>
    </font>
    <font>
      <b val="true"/>
      <sz val="10"/>
      <color rgb="FF2E75B6"/>
      <name val="Arial"/>
      <family val="0"/>
      <charset val="1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3"/>
      <color rgb="FF1F3864"/>
      <name val="Arial"/>
      <family val="0"/>
      <charset val="1"/>
    </font>
    <font>
      <b val="true"/>
      <sz val="11"/>
      <color rgb="FF1F3864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FFFF00"/>
        <bgColor rgb="FFFFCC00"/>
      </patternFill>
    </fill>
    <fill>
      <patternFill patternType="solid">
        <fgColor rgb="FFF7F7F5"/>
        <bgColor rgb="FFF2F2F2"/>
      </patternFill>
    </fill>
    <fill>
      <patternFill patternType="solid">
        <fgColor rgb="FF1F3864"/>
        <bgColor rgb="FF333399"/>
      </patternFill>
    </fill>
    <fill>
      <patternFill patternType="solid">
        <fgColor rgb="FFF0EFEC"/>
        <bgColor rgb="FFF2F2F2"/>
      </patternFill>
    </fill>
    <fill>
      <patternFill patternType="solid">
        <fgColor rgb="FF52514E"/>
        <bgColor rgb="FF666699"/>
      </patternFill>
    </fill>
    <fill>
      <patternFill patternType="solid">
        <fgColor rgb="FFD9E2F3"/>
        <bgColor rgb="FFE1E0D9"/>
      </patternFill>
    </fill>
    <fill>
      <patternFill patternType="solid">
        <fgColor rgb="FFF2F2F2"/>
        <bgColor rgb="FFF0EFEC"/>
      </patternFill>
    </fill>
    <fill>
      <patternFill patternType="solid">
        <fgColor rgb="FFFFF2CC"/>
        <bgColor rgb="FFFDF0CC"/>
      </patternFill>
    </fill>
    <fill>
      <patternFill patternType="solid">
        <fgColor rgb="FFC00000"/>
        <bgColor rgb="FF800000"/>
      </patternFill>
    </fill>
    <fill>
      <patternFill patternType="solid">
        <fgColor rgb="FFBF8F00"/>
        <bgColor rgb="FFE46C0A"/>
      </patternFill>
    </fill>
    <fill>
      <patternFill patternType="solid">
        <fgColor rgb="FF2E75B6"/>
        <bgColor rgb="FF2A78D6"/>
      </patternFill>
    </fill>
  </fills>
  <borders count="6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1E0D9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double"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3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2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2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6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6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24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4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24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0" fontId="24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24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24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24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4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24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2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3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2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32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8" fontId="32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3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3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2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4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32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7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2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5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35" fillId="8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3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39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33" fillId="8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33" fillId="8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8" fontId="33" fillId="8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39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3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33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8" fontId="33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35" fillId="8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35" fillId="8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35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35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8" fontId="35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39" fillId="8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39" fillId="8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8" fontId="39" fillId="8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38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38" fillId="8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39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39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0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38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3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32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27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7" fontId="32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75" fontId="32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4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77" fontId="45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5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4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32" fillId="9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5" fillId="9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5" fillId="9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2" fillId="9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4" fillId="2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4" fillId="9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32" fillId="9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1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3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3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3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3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2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2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2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5">
    <dxf>
      <font>
        <name val="Arial"/>
        <charset val="1"/>
        <family val="0"/>
        <b val="1"/>
        <color rgb="FFD03B3B"/>
        <sz val="20"/>
      </font>
    </dxf>
    <dxf>
      <fill>
        <patternFill>
          <bgColor rgb="FFD9F2D9"/>
        </patternFill>
      </fill>
    </dxf>
    <dxf>
      <fill>
        <patternFill>
          <bgColor rgb="FFFDF0CC"/>
        </patternFill>
      </fill>
    </dxf>
    <dxf>
      <fill>
        <patternFill>
          <bgColor rgb="FFF6D6D6"/>
        </patternFill>
      </fill>
    </dxf>
    <dxf>
      <fill>
        <patternFill>
          <bgColor rgb="FFF0EFE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D03B3B"/>
      <rgbColor rgb="FFFFF2CC"/>
      <rgbColor rgb="FFF2F2F2"/>
      <rgbColor rgb="FF660066"/>
      <rgbColor rgb="FFEB6834"/>
      <rgbColor rgb="FF2E75B6"/>
      <rgbColor rgb="FFD9D9D9"/>
      <rgbColor rgb="FF000080"/>
      <rgbColor rgb="FFFF00FF"/>
      <rgbColor rgb="FFF7F7F5"/>
      <rgbColor rgb="FF00FFFF"/>
      <rgbColor rgb="FF800080"/>
      <rgbColor rgb="FF800000"/>
      <rgbColor rgb="FF008080"/>
      <rgbColor rgb="FF0000FF"/>
      <rgbColor rgb="FF00CCFF"/>
      <rgbColor rgb="FFD9E2F3"/>
      <rgbColor rgb="FFD9F2D9"/>
      <rgbColor rgb="FFFDF0CC"/>
      <rgbColor rgb="FFB3B3B3"/>
      <rgbColor rgb="FFE1E0D9"/>
      <rgbColor rgb="FFF0EFEC"/>
      <rgbColor rgb="FFF6D6D6"/>
      <rgbColor rgb="FF2A78D6"/>
      <rgbColor rgb="FF33CCCC"/>
      <rgbColor rgb="FF99CC00"/>
      <rgbColor rgb="FFFFCC00"/>
      <rgbColor rgb="FFBF8F00"/>
      <rgbColor rgb="FFE46C0A"/>
      <rgbColor rgb="FF666699"/>
      <rgbColor rgb="FF8A8985"/>
      <rgbColor rgb="FF1F3864"/>
      <rgbColor rgb="FF339966"/>
      <rgbColor rgb="FF0B0B0B"/>
      <rgbColor rgb="FF333300"/>
      <rgbColor rgb="FF993300"/>
      <rgbColor rgb="FF993366"/>
      <rgbColor rgb="FF333399"/>
      <rgbColor rgb="FF52514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Planned vs actual % complete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'Weekly Log'!B5</c:f>
              <c:strCache>
                <c:ptCount val="1"/>
                <c:pt idx="0">
                  <c:v>Planned % (baseline)</c:v>
                </c:pt>
              </c:strCache>
            </c:strRef>
          </c:tx>
          <c:spPr>
            <a:solidFill>
              <a:srgbClr val="2a78d6"/>
            </a:solidFill>
            <a:ln w="24840">
              <a:solidFill>
                <a:srgbClr val="2a78d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'Weekly Log'!$A$6:$A$35</c:f>
              <c:strCache>
                <c:ptCount val="30"/>
                <c:pt idx="0">
                  <c:v>Fri 10/09/26</c:v>
                </c:pt>
                <c:pt idx="1">
                  <c:v>Fri 10/16/26</c:v>
                </c:pt>
                <c:pt idx="2">
                  <c:v>Fri 10/23/26</c:v>
                </c:pt>
                <c:pt idx="3">
                  <c:v>Fri 10/30/26</c:v>
                </c:pt>
                <c:pt idx="4">
                  <c:v>Fri 11/06/26</c:v>
                </c:pt>
                <c:pt idx="5">
                  <c:v>Fri 11/13/26</c:v>
                </c:pt>
                <c:pt idx="6">
                  <c:v>Fri 11/20/26</c:v>
                </c:pt>
                <c:pt idx="7">
                  <c:v>Fri 11/27/26</c:v>
                </c:pt>
                <c:pt idx="8">
                  <c:v>Fri 12/04/26</c:v>
                </c:pt>
                <c:pt idx="9">
                  <c:v>Fri 12/11/26</c:v>
                </c:pt>
                <c:pt idx="10">
                  <c:v>Fri 12/18/26</c:v>
                </c:pt>
                <c:pt idx="11">
                  <c:v>Fri 12/25/26</c:v>
                </c:pt>
                <c:pt idx="12">
                  <c:v>Fri 01/01/27</c:v>
                </c:pt>
                <c:pt idx="13">
                  <c:v>Fri 01/08/27</c:v>
                </c:pt>
                <c:pt idx="14">
                  <c:v>Fri 01/15/27</c:v>
                </c:pt>
                <c:pt idx="15">
                  <c:v>Fri 01/22/27</c:v>
                </c:pt>
                <c:pt idx="16">
                  <c:v>Fri 01/29/27</c:v>
                </c:pt>
                <c:pt idx="17">
                  <c:v>Fri 02/05/27</c:v>
                </c:pt>
                <c:pt idx="18">
                  <c:v>Fri 02/12/27</c:v>
                </c:pt>
                <c:pt idx="19">
                  <c:v>Fri 02/19/27</c:v>
                </c:pt>
                <c:pt idx="20">
                  <c:v>Fri 02/26/27</c:v>
                </c:pt>
                <c:pt idx="21">
                  <c:v>Fri 03/05/27</c:v>
                </c:pt>
                <c:pt idx="22">
                  <c:v>Fri 03/12/27</c:v>
                </c:pt>
                <c:pt idx="23">
                  <c:v>Fri 03/19/27</c:v>
                </c:pt>
                <c:pt idx="24">
                  <c:v>Fri 03/26/27</c:v>
                </c:pt>
                <c:pt idx="25">
                  <c:v>Fri 04/02/27</c:v>
                </c:pt>
                <c:pt idx="26">
                  <c:v>Fri 04/09/27</c:v>
                </c:pt>
                <c:pt idx="27">
                  <c:v>Fri 04/16/27</c:v>
                </c:pt>
                <c:pt idx="28">
                  <c:v>Fri 04/23/27</c:v>
                </c:pt>
                <c:pt idx="29">
                  <c:v>Fri 04/30/27</c:v>
                </c:pt>
              </c:strCache>
            </c:strRef>
          </c:cat>
          <c:val>
            <c:numRef>
              <c:f>'Weekly Log'!$B$6:$B$35</c:f>
              <c:numCache>
                <c:formatCode>0%</c:formatCode>
                <c:ptCount val="30"/>
                <c:pt idx="0">
                  <c:v>0.0299579051951787</c:v>
                </c:pt>
                <c:pt idx="1">
                  <c:v>0.0789081496587968</c:v>
                </c:pt>
                <c:pt idx="2">
                  <c:v>0.101855483218727</c:v>
                </c:pt>
                <c:pt idx="3">
                  <c:v>0.122421366381677</c:v>
                </c:pt>
                <c:pt idx="4">
                  <c:v>0.136062959186341</c:v>
                </c:pt>
                <c:pt idx="5">
                  <c:v>0.183375820325777</c:v>
                </c:pt>
                <c:pt idx="6">
                  <c:v>0.206070715785988</c:v>
                </c:pt>
                <c:pt idx="7">
                  <c:v>0.212117987467427</c:v>
                </c:pt>
                <c:pt idx="8">
                  <c:v>0.217957088448892</c:v>
                </c:pt>
                <c:pt idx="9">
                  <c:v>0.223938123998521</c:v>
                </c:pt>
                <c:pt idx="10">
                  <c:v>0.273319911801361</c:v>
                </c:pt>
                <c:pt idx="11">
                  <c:v>0.322376860215375</c:v>
                </c:pt>
                <c:pt idx="12">
                  <c:v>0.361673288874157</c:v>
                </c:pt>
                <c:pt idx="13">
                  <c:v>0.384964478404318</c:v>
                </c:pt>
                <c:pt idx="14">
                  <c:v>0.427444225518205</c:v>
                </c:pt>
                <c:pt idx="15">
                  <c:v>0.463014964136621</c:v>
                </c:pt>
                <c:pt idx="16">
                  <c:v>0.545355191256831</c:v>
                </c:pt>
                <c:pt idx="17">
                  <c:v>0.623972748562913</c:v>
                </c:pt>
                <c:pt idx="18">
                  <c:v>0.732609467035697</c:v>
                </c:pt>
                <c:pt idx="19">
                  <c:v>0.823646299056135</c:v>
                </c:pt>
                <c:pt idx="20">
                  <c:v>0.864133134624938</c:v>
                </c:pt>
                <c:pt idx="21">
                  <c:v>0.908064249047856</c:v>
                </c:pt>
                <c:pt idx="22">
                  <c:v>0.95926477893691</c:v>
                </c:pt>
                <c:pt idx="23">
                  <c:v>0.983109786388475</c:v>
                </c:pt>
                <c:pt idx="24">
                  <c:v>0.994038748137109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'Weekly Log'!G5</c:f>
              <c:strCache>
                <c:ptCount val="1"/>
                <c:pt idx="0">
                  <c:v>Actual %</c:v>
                </c:pt>
              </c:strCache>
            </c:strRef>
          </c:tx>
          <c:spPr>
            <a:solidFill>
              <a:srgbClr val="eb6834"/>
            </a:solidFill>
            <a:ln w="24840">
              <a:solidFill>
                <a:srgbClr val="eb683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'Weekly Log'!$A$6:$A$35</c:f>
              <c:strCache>
                <c:ptCount val="30"/>
                <c:pt idx="0">
                  <c:v>Fri 10/09/26</c:v>
                </c:pt>
                <c:pt idx="1">
                  <c:v>Fri 10/16/26</c:v>
                </c:pt>
                <c:pt idx="2">
                  <c:v>Fri 10/23/26</c:v>
                </c:pt>
                <c:pt idx="3">
                  <c:v>Fri 10/30/26</c:v>
                </c:pt>
                <c:pt idx="4">
                  <c:v>Fri 11/06/26</c:v>
                </c:pt>
                <c:pt idx="5">
                  <c:v>Fri 11/13/26</c:v>
                </c:pt>
                <c:pt idx="6">
                  <c:v>Fri 11/20/26</c:v>
                </c:pt>
                <c:pt idx="7">
                  <c:v>Fri 11/27/26</c:v>
                </c:pt>
                <c:pt idx="8">
                  <c:v>Fri 12/04/26</c:v>
                </c:pt>
                <c:pt idx="9">
                  <c:v>Fri 12/11/26</c:v>
                </c:pt>
                <c:pt idx="10">
                  <c:v>Fri 12/18/26</c:v>
                </c:pt>
                <c:pt idx="11">
                  <c:v>Fri 12/25/26</c:v>
                </c:pt>
                <c:pt idx="12">
                  <c:v>Fri 01/01/27</c:v>
                </c:pt>
                <c:pt idx="13">
                  <c:v>Fri 01/08/27</c:v>
                </c:pt>
                <c:pt idx="14">
                  <c:v>Fri 01/15/27</c:v>
                </c:pt>
                <c:pt idx="15">
                  <c:v>Fri 01/22/27</c:v>
                </c:pt>
                <c:pt idx="16">
                  <c:v>Fri 01/29/27</c:v>
                </c:pt>
                <c:pt idx="17">
                  <c:v>Fri 02/05/27</c:v>
                </c:pt>
                <c:pt idx="18">
                  <c:v>Fri 02/12/27</c:v>
                </c:pt>
                <c:pt idx="19">
                  <c:v>Fri 02/19/27</c:v>
                </c:pt>
                <c:pt idx="20">
                  <c:v>Fri 02/26/27</c:v>
                </c:pt>
                <c:pt idx="21">
                  <c:v>Fri 03/05/27</c:v>
                </c:pt>
                <c:pt idx="22">
                  <c:v>Fri 03/12/27</c:v>
                </c:pt>
                <c:pt idx="23">
                  <c:v>Fri 03/19/27</c:v>
                </c:pt>
                <c:pt idx="24">
                  <c:v>Fri 03/26/27</c:v>
                </c:pt>
                <c:pt idx="25">
                  <c:v>Fri 04/02/27</c:v>
                </c:pt>
                <c:pt idx="26">
                  <c:v>Fri 04/09/27</c:v>
                </c:pt>
                <c:pt idx="27">
                  <c:v>Fri 04/16/27</c:v>
                </c:pt>
                <c:pt idx="28">
                  <c:v>Fri 04/23/27</c:v>
                </c:pt>
                <c:pt idx="29">
                  <c:v>Fri 04/30/27</c:v>
                </c:pt>
              </c:strCache>
            </c:strRef>
          </c:cat>
          <c:val>
            <c:numRef>
              <c:f>'Weekly Log'!$G$6:$G$35</c:f>
              <c:numCache>
                <c:formatCode>General</c:formatCode>
                <c:ptCount val="30"/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2285069"/>
        <c:axId val="40835745"/>
      </c:lineChart>
      <c:catAx>
        <c:axId val="72285069"/>
        <c:scaling>
          <c:orientation val="minMax"/>
        </c:scaling>
        <c:delete val="0"/>
        <c:axPos val="b"/>
        <c:numFmt formatCode="mm/dd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835745"/>
        <c:crosses val="autoZero"/>
        <c:auto val="1"/>
        <c:lblAlgn val="ctr"/>
        <c:lblOffset val="100"/>
        <c:noMultiLvlLbl val="0"/>
      </c:catAx>
      <c:valAx>
        <c:axId val="40835745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28506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8</xdr:row>
      <xdr:rowOff>130680</xdr:rowOff>
    </xdr:from>
    <xdr:to>
      <xdr:col>12</xdr:col>
      <xdr:colOff>252360</xdr:colOff>
      <xdr:row>29</xdr:row>
      <xdr:rowOff>89640</xdr:rowOff>
    </xdr:to>
    <xdr:graphicFrame>
      <xdr:nvGraphicFramePr>
        <xdr:cNvPr id="0" name="Chart 1"/>
        <xdr:cNvGraphicFramePr/>
      </xdr:nvGraphicFramePr>
      <xdr:xfrm>
        <a:off x="8267760" y="2066760"/>
        <a:ext cx="611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hyperlink" Target="https://www.jupiter.fl.us/DocumentCenter/View/29576/Residential-AlterationsAdditions" TargetMode="External"/><Relationship Id="rId3" Type="http://schemas.openxmlformats.org/officeDocument/2006/relationships/hyperlink" Target="https://www.jupiter.fl.us/DocumentCenter/View/29560/Mechanical" TargetMode="External"/><Relationship Id="rId4" Type="http://schemas.openxmlformats.org/officeDocument/2006/relationships/hyperlink" Target="https://www.jupiter.fl.us/DocumentCenter/View/29533/Electric" TargetMode="External"/><Relationship Id="rId5" Type="http://schemas.openxmlformats.org/officeDocument/2006/relationships/hyperlink" Target="https://www.jupiter.fl.us/DocumentCenter/View/29570/Plumbing" TargetMode="External"/><Relationship Id="rId6" Type="http://schemas.openxmlformats.org/officeDocument/2006/relationships/hyperlink" Target="https://www.jupiter.fl.us/DocumentCenter/View/29536/Fences" TargetMode="External"/><Relationship Id="rId7" Type="http://schemas.openxmlformats.org/officeDocument/2006/relationships/hyperlink" Target="https://www.jupiter.fl.us/DocumentCenter/View/29523/Concrete-Slab-Patios-Decks-Pavers" TargetMode="External"/><Relationship Id="rId8" Type="http://schemas.openxmlformats.org/officeDocument/2006/relationships/hyperlink" Target="https://www.jupiter.fl.us/DocumentCenter/View/29605/Gazebo" TargetMode="External"/><Relationship Id="rId9" Type="http://schemas.openxmlformats.org/officeDocument/2006/relationships/hyperlink" Target="https://www.jupiter.fl.us/DocumentCenter/View/29545/Garage-Door-Replacement" TargetMode="External"/><Relationship Id="rId10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78D6"/>
    <pageSetUpPr fitToPage="true"/>
  </sheetPr>
  <dimension ref="B1:E5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2"/>
    <col collapsed="false" customWidth="true" hidden="false" outlineLevel="0" max="4" min="3" style="0" width="14"/>
    <col collapsed="false" customWidth="true" hidden="false" outlineLevel="0" max="5" min="5" style="0" width="18"/>
    <col collapsed="false" customWidth="true" hidden="false" outlineLevel="0" max="6" min="6" style="0" width="3"/>
    <col collapsed="false" customWidth="true" hidden="false" outlineLevel="0" max="24" min="7" style="0" width="11"/>
  </cols>
  <sheetData>
    <row r="1" customFormat="false" ht="19.7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  <c r="C4" s="4" t="n">
        <f aca="true">TODAY()</f>
        <v>46289</v>
      </c>
      <c r="D4" s="5" t="s">
        <v>3</v>
      </c>
      <c r="E4" s="6" t="n">
        <f aca="false">'Schedule Logic'!H186</f>
        <v>46477</v>
      </c>
    </row>
    <row r="5" customFormat="false" ht="15" hidden="false" customHeight="false" outlineLevel="0" collapsed="false">
      <c r="B5" s="7" t="s">
        <v>4</v>
      </c>
      <c r="C5" s="8" t="str">
        <f aca="false">IF(COUNT('Progress Log'!$A$10:$A$3000)=0,"none yet",MAX('Progress Log'!$A$10:$A$3000))</f>
        <v>none yet</v>
      </c>
      <c r="D5" s="7" t="s">
        <v>5</v>
      </c>
      <c r="E5" s="9" t="n">
        <f aca="false">MAX(0,NETWORKDAYS($C$4,'Schedule Logic'!H186,'Schedule Logic'!$M$6:$M$11)-1)</f>
        <v>128</v>
      </c>
    </row>
    <row r="6" customFormat="false" ht="15" hidden="false" customHeight="false" outlineLevel="0" collapsed="false">
      <c r="B6" s="10" t="s">
        <v>6</v>
      </c>
      <c r="C6" s="10" t="s">
        <v>7</v>
      </c>
      <c r="D6" s="10" t="s">
        <v>8</v>
      </c>
      <c r="E6" s="10" t="s">
        <v>9</v>
      </c>
    </row>
    <row r="7" customFormat="false" ht="33.75" hidden="false" customHeight="true" outlineLevel="0" collapsed="false">
      <c r="B7" s="11" t="n">
        <f aca="false">IF(SUM('Schedule Logic'!$R$6:$R$166)=0,0,SUM('Schedule Logic'!$X$6:$X$166)/SUM('Schedule Logic'!$R$6:$R$166))</f>
        <v>0</v>
      </c>
      <c r="C7" s="11" t="n">
        <f aca="false">IF(SUM('Schedule Logic'!$R$6:$R$166)=0,0,SUM('Schedule Logic'!$W$6:$W$166)/SUM('Schedule Logic'!$R$6:$R$166))</f>
        <v>0.00447093889716841</v>
      </c>
      <c r="D7" s="12" t="n">
        <f aca="false">COUNTIF('Schedule Logic'!$Y$6:$Y$166,TRUE())</f>
        <v>0</v>
      </c>
      <c r="E7" s="13" t="str">
        <f aca="false">IF(SUM('Schedule Logic'!$X$6:$X$166)=0,IF(SUM('Schedule Logic'!$W$6:$W$166)&gt;0,"✔ Ahead of plan","○ Not started"),IF(SUM('Schedule Logic'!$W$6:$W$166)/SUM('Schedule Logic'!$X$6:$X$166)&gt;=0.95,"✔ On track",IF(SUM('Schedule Logic'!$W$6:$W$166)/SUM('Schedule Logic'!$X$6:$X$166)&gt;=0.85,"▲ At risk","✖ Behind")))</f>
        <v>✔ Ahead of plan</v>
      </c>
    </row>
    <row r="8" customFormat="false" ht="24" hidden="false" customHeight="true" outlineLevel="0" collapsed="false">
      <c r="B8" s="14" t="s">
        <v>10</v>
      </c>
      <c r="C8" s="14" t="s">
        <v>11</v>
      </c>
      <c r="D8" s="14" t="s">
        <v>12</v>
      </c>
      <c r="E8" s="15" t="str">
        <f aca="false">IF(ISNUMBER(IF(SUM('Schedule Logic'!$X$6:$X$166)=0,"n/a",SUM('Schedule Logic'!$W$6:$W$166)/SUM('Schedule Logic'!$X$6:$X$166))),"SPI "&amp;TEXT(IF(SUM('Schedule Logic'!$X$6:$X$166)=0,"n/a",SUM('Schedule Logic'!$W$6:$W$166)/SUM('Schedule Logic'!$X$6:$X$166)),"0.00")&amp;" (1.00 = on plan)","SPI n/a - not started")</f>
        <v>SPI n/a - not started</v>
      </c>
    </row>
    <row r="10" customFormat="false" ht="15" hidden="false" customHeight="false" outlineLevel="0" collapsed="false">
      <c r="B10" s="16" t="s">
        <v>13</v>
      </c>
    </row>
    <row r="11" customFormat="false" ht="15" hidden="false" customHeight="false" outlineLevel="0" collapsed="false">
      <c r="B11" s="17" t="s">
        <v>14</v>
      </c>
      <c r="C11" s="17" t="s">
        <v>15</v>
      </c>
      <c r="D11" s="17" t="s">
        <v>16</v>
      </c>
      <c r="E11" s="17" t="s">
        <v>17</v>
      </c>
    </row>
    <row r="12" customFormat="false" ht="15" hidden="false" customHeight="false" outlineLevel="0" collapsed="false">
      <c r="B12" s="18" t="s">
        <v>18</v>
      </c>
      <c r="C12" s="19" t="n">
        <f aca="false">IF(SUMIF('Schedule Logic'!$P$6:$P$166,$B12,'Schedule Logic'!$R$6:$R$166)=0,0,SUMIF('Schedule Logic'!$P$6:$P$166,$B12,'Schedule Logic'!$X$6:$X$166)/SUMIF('Schedule Logic'!$P$6:$P$166,$B12,'Schedule Logic'!$R$6:$R$166))</f>
        <v>0</v>
      </c>
      <c r="D12" s="19" t="n">
        <f aca="false">IF(SUMIF('Schedule Logic'!$P$6:$P$166,$B12,'Schedule Logic'!$R$6:$R$166)=0,0,SUMIF('Schedule Logic'!$P$6:$P$166,$B12,'Schedule Logic'!$W$6:$W$166)/SUMIF('Schedule Logic'!$P$6:$P$166,$B12,'Schedule Logic'!$R$6:$R$166))</f>
        <v>0.0418604651162791</v>
      </c>
      <c r="E12" s="20" t="str">
        <f aca="false">IF(D12&gt;=1,"✔ Complete",IF(C12=0,IF(D12&gt;0,"✔ Ahead","○ Not started"),IF((D12-C12)*100&gt;=-5,"✔ On track",IF((D12-C12)*100&gt;=-15,"▲ At risk","✖ Behind"))))</f>
        <v>✔ Ahead</v>
      </c>
    </row>
    <row r="13" customFormat="false" ht="15" hidden="false" customHeight="false" outlineLevel="0" collapsed="false">
      <c r="B13" s="18" t="s">
        <v>19</v>
      </c>
      <c r="C13" s="19" t="n">
        <f aca="false">IF(SUMIF('Schedule Logic'!$P$6:$P$166,$B13,'Schedule Logic'!$R$6:$R$166)=0,0,SUMIF('Schedule Logic'!$P$6:$P$166,$B13,'Schedule Logic'!$X$6:$X$166)/SUMIF('Schedule Logic'!$P$6:$P$166,$B13,'Schedule Logic'!$R$6:$R$166))</f>
        <v>0</v>
      </c>
      <c r="D13" s="19" t="n">
        <f aca="false">IF(SUMIF('Schedule Logic'!$P$6:$P$166,$B13,'Schedule Logic'!$R$6:$R$166)=0,0,SUMIF('Schedule Logic'!$P$6:$P$166,$B13,'Schedule Logic'!$W$6:$W$166)/SUMIF('Schedule Logic'!$P$6:$P$166,$B13,'Schedule Logic'!$R$6:$R$166))</f>
        <v>0</v>
      </c>
      <c r="E13" s="20" t="str">
        <f aca="false">IF(D13&gt;=1,"✔ Complete",IF(C13=0,IF(D13&gt;0,"✔ Ahead","○ Not started"),IF((D13-C13)*100&gt;=-5,"✔ On track",IF((D13-C13)*100&gt;=-15,"▲ At risk","✖ Behind"))))</f>
        <v>○ Not started</v>
      </c>
    </row>
    <row r="14" customFormat="false" ht="15" hidden="false" customHeight="false" outlineLevel="0" collapsed="false">
      <c r="B14" s="18" t="s">
        <v>20</v>
      </c>
      <c r="C14" s="19" t="n">
        <f aca="false">IF(SUMIF('Schedule Logic'!$P$6:$P$166,$B14,'Schedule Logic'!$R$6:$R$166)=0,0,SUMIF('Schedule Logic'!$P$6:$P$166,$B14,'Schedule Logic'!$X$6:$X$166)/SUMIF('Schedule Logic'!$P$6:$P$166,$B14,'Schedule Logic'!$R$6:$R$166))</f>
        <v>0</v>
      </c>
      <c r="D14" s="19" t="n">
        <f aca="false">IF(SUMIF('Schedule Logic'!$P$6:$P$166,$B14,'Schedule Logic'!$R$6:$R$166)=0,0,SUMIF('Schedule Logic'!$P$6:$P$166,$B14,'Schedule Logic'!$W$6:$W$166)/SUMIF('Schedule Logic'!$P$6:$P$166,$B14,'Schedule Logic'!$R$6:$R$166))</f>
        <v>0</v>
      </c>
      <c r="E14" s="20" t="str">
        <f aca="false">IF(D14&gt;=1,"✔ Complete",IF(C14=0,IF(D14&gt;0,"✔ Ahead","○ Not started"),IF((D14-C14)*100&gt;=-5,"✔ On track",IF((D14-C14)*100&gt;=-15,"▲ At risk","✖ Behind"))))</f>
        <v>○ Not started</v>
      </c>
    </row>
    <row r="15" customFormat="false" ht="15" hidden="false" customHeight="false" outlineLevel="0" collapsed="false">
      <c r="B15" s="18" t="s">
        <v>21</v>
      </c>
      <c r="C15" s="19" t="n">
        <f aca="false">IF(SUMIF('Schedule Logic'!$P$6:$P$166,$B15,'Schedule Logic'!$R$6:$R$166)=0,0,SUMIF('Schedule Logic'!$P$6:$P$166,$B15,'Schedule Logic'!$X$6:$X$166)/SUMIF('Schedule Logic'!$P$6:$P$166,$B15,'Schedule Logic'!$R$6:$R$166))</f>
        <v>0</v>
      </c>
      <c r="D15" s="19" t="n">
        <f aca="false">IF(SUMIF('Schedule Logic'!$P$6:$P$166,$B15,'Schedule Logic'!$R$6:$R$166)=0,0,SUMIF('Schedule Logic'!$P$6:$P$166,$B15,'Schedule Logic'!$W$6:$W$166)/SUMIF('Schedule Logic'!$P$6:$P$166,$B15,'Schedule Logic'!$R$6:$R$166))</f>
        <v>0</v>
      </c>
      <c r="E15" s="20" t="str">
        <f aca="false">IF(D15&gt;=1,"✔ Complete",IF(C15=0,IF(D15&gt;0,"✔ Ahead","○ Not started"),IF((D15-C15)*100&gt;=-5,"✔ On track",IF((D15-C15)*100&gt;=-15,"▲ At risk","✖ Behind"))))</f>
        <v>○ Not started</v>
      </c>
    </row>
    <row r="16" customFormat="false" ht="15" hidden="false" customHeight="false" outlineLevel="0" collapsed="false">
      <c r="B16" s="18" t="s">
        <v>22</v>
      </c>
      <c r="C16" s="19" t="n">
        <f aca="false">IF(SUMIF('Schedule Logic'!$P$6:$P$166,$B16,'Schedule Logic'!$R$6:$R$166)=0,0,SUMIF('Schedule Logic'!$P$6:$P$166,$B16,'Schedule Logic'!$X$6:$X$166)/SUMIF('Schedule Logic'!$P$6:$P$166,$B16,'Schedule Logic'!$R$6:$R$166))</f>
        <v>0</v>
      </c>
      <c r="D16" s="19" t="n">
        <f aca="false">IF(SUMIF('Schedule Logic'!$P$6:$P$166,$B16,'Schedule Logic'!$R$6:$R$166)=0,0,SUMIF('Schedule Logic'!$P$6:$P$166,$B16,'Schedule Logic'!$W$6:$W$166)/SUMIF('Schedule Logic'!$P$6:$P$166,$B16,'Schedule Logic'!$R$6:$R$166))</f>
        <v>0</v>
      </c>
      <c r="E16" s="20" t="str">
        <f aca="false">IF(D16&gt;=1,"✔ Complete",IF(C16=0,IF(D16&gt;0,"✔ Ahead","○ Not started"),IF((D16-C16)*100&gt;=-5,"✔ On track",IF((D16-C16)*100&gt;=-15,"▲ At risk","✖ Behind"))))</f>
        <v>○ Not started</v>
      </c>
    </row>
    <row r="17" customFormat="false" ht="15" hidden="false" customHeight="false" outlineLevel="0" collapsed="false">
      <c r="B17" s="18" t="s">
        <v>23</v>
      </c>
      <c r="C17" s="19" t="n">
        <f aca="false">IF(SUMIF('Schedule Logic'!$P$6:$P$166,$B17,'Schedule Logic'!$R$6:$R$166)=0,0,SUMIF('Schedule Logic'!$P$6:$P$166,$B17,'Schedule Logic'!$X$6:$X$166)/SUMIF('Schedule Logic'!$P$6:$P$166,$B17,'Schedule Logic'!$R$6:$R$166))</f>
        <v>0</v>
      </c>
      <c r="D17" s="19" t="n">
        <f aca="false">IF(SUMIF('Schedule Logic'!$P$6:$P$166,$B17,'Schedule Logic'!$R$6:$R$166)=0,0,SUMIF('Schedule Logic'!$P$6:$P$166,$B17,'Schedule Logic'!$W$6:$W$166)/SUMIF('Schedule Logic'!$P$6:$P$166,$B17,'Schedule Logic'!$R$6:$R$166))</f>
        <v>0</v>
      </c>
      <c r="E17" s="20" t="str">
        <f aca="false">IF(D17&gt;=1,"✔ Complete",IF(C17=0,IF(D17&gt;0,"✔ Ahead","○ Not started"),IF((D17-C17)*100&gt;=-5,"✔ On track",IF((D17-C17)*100&gt;=-15,"▲ At risk","✖ Behind"))))</f>
        <v>○ Not started</v>
      </c>
    </row>
    <row r="18" customFormat="false" ht="15" hidden="false" customHeight="false" outlineLevel="0" collapsed="false">
      <c r="B18" s="18" t="s">
        <v>24</v>
      </c>
      <c r="C18" s="19" t="n">
        <f aca="false">IF(SUMIF('Schedule Logic'!$P$6:$P$166,$B18,'Schedule Logic'!$R$6:$R$166)=0,0,SUMIF('Schedule Logic'!$P$6:$P$166,$B18,'Schedule Logic'!$X$6:$X$166)/SUMIF('Schedule Logic'!$P$6:$P$166,$B18,'Schedule Logic'!$R$6:$R$166))</f>
        <v>0</v>
      </c>
      <c r="D18" s="19" t="n">
        <f aca="false">IF(SUMIF('Schedule Logic'!$P$6:$P$166,$B18,'Schedule Logic'!$R$6:$R$166)=0,0,SUMIF('Schedule Logic'!$P$6:$P$166,$B18,'Schedule Logic'!$W$6:$W$166)/SUMIF('Schedule Logic'!$P$6:$P$166,$B18,'Schedule Logic'!$R$6:$R$166))</f>
        <v>0</v>
      </c>
      <c r="E18" s="20" t="str">
        <f aca="false">IF(D18&gt;=1,"✔ Complete",IF(C18=0,IF(D18&gt;0,"✔ Ahead","○ Not started"),IF((D18-C18)*100&gt;=-5,"✔ On track",IF((D18-C18)*100&gt;=-15,"▲ At risk","✖ Behind"))))</f>
        <v>○ Not started</v>
      </c>
    </row>
    <row r="19" customFormat="false" ht="15" hidden="false" customHeight="false" outlineLevel="0" collapsed="false">
      <c r="B19" s="18" t="s">
        <v>25</v>
      </c>
      <c r="C19" s="19" t="n">
        <f aca="false">IF(SUMIF('Schedule Logic'!$P$6:$P$166,$B19,'Schedule Logic'!$R$6:$R$166)=0,0,SUMIF('Schedule Logic'!$P$6:$P$166,$B19,'Schedule Logic'!$X$6:$X$166)/SUMIF('Schedule Logic'!$P$6:$P$166,$B19,'Schedule Logic'!$R$6:$R$166))</f>
        <v>0</v>
      </c>
      <c r="D19" s="19" t="n">
        <f aca="false">IF(SUMIF('Schedule Logic'!$P$6:$P$166,$B19,'Schedule Logic'!$R$6:$R$166)=0,0,SUMIF('Schedule Logic'!$P$6:$P$166,$B19,'Schedule Logic'!$W$6:$W$166)/SUMIF('Schedule Logic'!$P$6:$P$166,$B19,'Schedule Logic'!$R$6:$R$166))</f>
        <v>0</v>
      </c>
      <c r="E19" s="20" t="str">
        <f aca="false">IF(D19&gt;=1,"✔ Complete",IF(C19=0,IF(D19&gt;0,"✔ Ahead","○ Not started"),IF((D19-C19)*100&gt;=-5,"✔ On track",IF((D19-C19)*100&gt;=-15,"▲ At risk","✖ Behind"))))</f>
        <v>○ Not started</v>
      </c>
    </row>
    <row r="20" customFormat="false" ht="15" hidden="false" customHeight="false" outlineLevel="0" collapsed="false">
      <c r="B20" s="18" t="s">
        <v>26</v>
      </c>
      <c r="C20" s="19" t="n">
        <f aca="false">IF(SUMIF('Schedule Logic'!$P$6:$P$166,$B20,'Schedule Logic'!$R$6:$R$166)=0,0,SUMIF('Schedule Logic'!$P$6:$P$166,$B20,'Schedule Logic'!$X$6:$X$166)/SUMIF('Schedule Logic'!$P$6:$P$166,$B20,'Schedule Logic'!$R$6:$R$166))</f>
        <v>0</v>
      </c>
      <c r="D20" s="19" t="n">
        <f aca="false">IF(SUMIF('Schedule Logic'!$P$6:$P$166,$B20,'Schedule Logic'!$R$6:$R$166)=0,0,SUMIF('Schedule Logic'!$P$6:$P$166,$B20,'Schedule Logic'!$W$6:$W$166)/SUMIF('Schedule Logic'!$P$6:$P$166,$B20,'Schedule Logic'!$R$6:$R$166))</f>
        <v>0</v>
      </c>
      <c r="E20" s="20" t="str">
        <f aca="false">IF(D20&gt;=1,"✔ Complete",IF(C20=0,IF(D20&gt;0,"✔ Ahead","○ Not started"),IF((D20-C20)*100&gt;=-5,"✔ On track",IF((D20-C20)*100&gt;=-15,"▲ At risk","✖ Behind"))))</f>
        <v>○ Not started</v>
      </c>
    </row>
    <row r="21" customFormat="false" ht="15" hidden="false" customHeight="false" outlineLevel="0" collapsed="false">
      <c r="B21" s="18" t="s">
        <v>27</v>
      </c>
      <c r="C21" s="19" t="n">
        <f aca="false">IF(SUMIF('Schedule Logic'!$P$6:$P$166,$B21,'Schedule Logic'!$R$6:$R$166)=0,0,SUMIF('Schedule Logic'!$P$6:$P$166,$B21,'Schedule Logic'!$X$6:$X$166)/SUMIF('Schedule Logic'!$P$6:$P$166,$B21,'Schedule Logic'!$R$6:$R$166))</f>
        <v>0</v>
      </c>
      <c r="D21" s="19" t="n">
        <f aca="false">IF(SUMIF('Schedule Logic'!$P$6:$P$166,$B21,'Schedule Logic'!$R$6:$R$166)=0,0,SUMIF('Schedule Logic'!$P$6:$P$166,$B21,'Schedule Logic'!$W$6:$W$166)/SUMIF('Schedule Logic'!$P$6:$P$166,$B21,'Schedule Logic'!$R$6:$R$166))</f>
        <v>0</v>
      </c>
      <c r="E21" s="20" t="str">
        <f aca="false">IF(D21&gt;=1,"✔ Complete",IF(C21=0,IF(D21&gt;0,"✔ Ahead","○ Not started"),IF((D21-C21)*100&gt;=-5,"✔ On track",IF((D21-C21)*100&gt;=-15,"▲ At risk","✖ Behind"))))</f>
        <v>○ Not started</v>
      </c>
    </row>
    <row r="22" customFormat="false" ht="15" hidden="false" customHeight="false" outlineLevel="0" collapsed="false">
      <c r="B22" s="18" t="s">
        <v>28</v>
      </c>
      <c r="C22" s="19" t="n">
        <f aca="false">IF(SUMIF('Schedule Logic'!$P$6:$P$166,$B22,'Schedule Logic'!$R$6:$R$166)=0,0,SUMIF('Schedule Logic'!$P$6:$P$166,$B22,'Schedule Logic'!$X$6:$X$166)/SUMIF('Schedule Logic'!$P$6:$P$166,$B22,'Schedule Logic'!$R$6:$R$166))</f>
        <v>0</v>
      </c>
      <c r="D22" s="19" t="n">
        <f aca="false">IF(SUMIF('Schedule Logic'!$P$6:$P$166,$B22,'Schedule Logic'!$R$6:$R$166)=0,0,SUMIF('Schedule Logic'!$P$6:$P$166,$B22,'Schedule Logic'!$W$6:$W$166)/SUMIF('Schedule Logic'!$P$6:$P$166,$B22,'Schedule Logic'!$R$6:$R$166))</f>
        <v>0</v>
      </c>
      <c r="E22" s="20" t="str">
        <f aca="false">IF(D22&gt;=1,"✔ Complete",IF(C22=0,IF(D22&gt;0,"✔ Ahead","○ Not started"),IF((D22-C22)*100&gt;=-5,"✔ On track",IF((D22-C22)*100&gt;=-15,"▲ At risk","✖ Behind"))))</f>
        <v>○ Not started</v>
      </c>
    </row>
    <row r="23" customFormat="false" ht="15" hidden="false" customHeight="false" outlineLevel="0" collapsed="false">
      <c r="B23" s="21" t="s">
        <v>29</v>
      </c>
      <c r="C23" s="22" t="n">
        <f aca="false">B7</f>
        <v>0</v>
      </c>
      <c r="D23" s="22" t="n">
        <f aca="false">C7</f>
        <v>0.00447093889716841</v>
      </c>
      <c r="E23" s="23" t="str">
        <f aca="false">E7</f>
        <v>✔ Ahead of plan</v>
      </c>
    </row>
    <row r="25" customFormat="false" ht="15" hidden="false" customHeight="false" outlineLevel="0" collapsed="false">
      <c r="B25" s="16" t="s">
        <v>30</v>
      </c>
    </row>
    <row r="26" customFormat="false" ht="15" hidden="false" customHeight="false" outlineLevel="0" collapsed="false">
      <c r="B26" s="17" t="s">
        <v>31</v>
      </c>
      <c r="C26" s="17" t="s">
        <v>32</v>
      </c>
      <c r="D26" s="17" t="s">
        <v>17</v>
      </c>
    </row>
    <row r="27" customFormat="false" ht="15" hidden="false" customHeight="false" outlineLevel="0" collapsed="false">
      <c r="B27" s="18" t="s">
        <v>33</v>
      </c>
      <c r="C27" s="24" t="n">
        <f aca="false">MAX('Schedule Logic'!$H$7)</f>
        <v>46311</v>
      </c>
      <c r="D27" s="20" t="str">
        <f aca="false">IF(MIN('Schedule Logic'!$U$7)&gt;=1,"✔ Done",IF(C27&lt;$C$4,"✖ Late",IF(NETWORKDAYS($C$4,C27,'Schedule Logic'!$M$6:$M$11)&lt;=10,"◆ Due soon","○ Upcoming")))</f>
        <v>○ Upcoming</v>
      </c>
    </row>
    <row r="28" customFormat="false" ht="15" hidden="false" customHeight="false" outlineLevel="0" collapsed="false">
      <c r="B28" s="18" t="s">
        <v>34</v>
      </c>
      <c r="C28" s="24" t="n">
        <f aca="false">MAX('Schedule Logic'!$H$10)</f>
        <v>46332</v>
      </c>
      <c r="D28" s="20" t="str">
        <f aca="false">IF(MIN('Schedule Logic'!$U$10)&gt;=1,"✔ Done",IF(C28&lt;$C$4,"✖ Late",IF(NETWORKDAYS($C$4,C28,'Schedule Logic'!$M$6:$M$11)&lt;=10,"◆ Due soon","○ Upcoming")))</f>
        <v>○ Upcoming</v>
      </c>
    </row>
    <row r="29" customFormat="false" ht="15" hidden="false" customHeight="false" outlineLevel="0" collapsed="false">
      <c r="B29" s="18" t="s">
        <v>35</v>
      </c>
      <c r="C29" s="24" t="n">
        <f aca="false">MAX('Schedule Logic'!$H$19)</f>
        <v>46338</v>
      </c>
      <c r="D29" s="20" t="str">
        <f aca="false">IF(MIN('Schedule Logic'!$U$19)&gt;=1,"✔ Done",IF(C29&lt;$C$4,"✖ Late",IF(NETWORKDAYS($C$4,C29,'Schedule Logic'!$M$6:$M$11)&lt;=10,"◆ Due soon","○ Upcoming")))</f>
        <v>○ Upcoming</v>
      </c>
    </row>
    <row r="30" customFormat="false" ht="15" hidden="false" customHeight="false" outlineLevel="0" collapsed="false">
      <c r="B30" s="18" t="s">
        <v>36</v>
      </c>
      <c r="C30" s="24" t="n">
        <f aca="false">MAX('Schedule Logic'!$H$21,'Schedule Logic'!$H$22,'Schedule Logic'!$H$23,'Schedule Logic'!$H$24)</f>
        <v>46370</v>
      </c>
      <c r="D30" s="20" t="str">
        <f aca="false">IF(MIN('Schedule Logic'!$U$21,'Schedule Logic'!$U$22,'Schedule Logic'!$U$23,'Schedule Logic'!$U$24)&gt;=1,"✔ Done",IF(C30&lt;$C$4,"✖ Late",IF(NETWORKDAYS($C$4,C30,'Schedule Logic'!$M$6:$M$11)&lt;=10,"◆ Due soon","○ Upcoming")))</f>
        <v>○ Upcoming</v>
      </c>
    </row>
    <row r="31" customFormat="false" ht="15" hidden="false" customHeight="false" outlineLevel="0" collapsed="false">
      <c r="B31" s="18" t="s">
        <v>37</v>
      </c>
      <c r="C31" s="24" t="n">
        <f aca="false">MAX('Schedule Logic'!$H$57)</f>
        <v>46374</v>
      </c>
      <c r="D31" s="20" t="str">
        <f aca="false">IF(MIN('Schedule Logic'!$U$57)&gt;=1,"✔ Done",IF(C31&lt;$C$4,"✖ Late",IF(NETWORKDAYS($C$4,C31,'Schedule Logic'!$M$6:$M$11)&lt;=10,"◆ Due soon","○ Upcoming")))</f>
        <v>○ Upcoming</v>
      </c>
    </row>
    <row r="32" customFormat="false" ht="15" hidden="false" customHeight="false" outlineLevel="0" collapsed="false">
      <c r="B32" s="18" t="s">
        <v>38</v>
      </c>
      <c r="C32" s="24" t="n">
        <f aca="false">MAX('Schedule Logic'!$H$38)</f>
        <v>46394</v>
      </c>
      <c r="D32" s="20" t="str">
        <f aca="false">IF(MIN('Schedule Logic'!$U$38)&gt;=1,"✔ Done",IF(C32&lt;$C$4,"✖ Late",IF(NETWORKDAYS($C$4,C32,'Schedule Logic'!$M$6:$M$11)&lt;=10,"◆ Due soon","○ Upcoming")))</f>
        <v>○ Upcoming</v>
      </c>
    </row>
    <row r="33" customFormat="false" ht="15" hidden="false" customHeight="false" outlineLevel="0" collapsed="false">
      <c r="B33" s="18" t="s">
        <v>39</v>
      </c>
      <c r="C33" s="24" t="n">
        <f aca="false">MAX('Schedule Logic'!$H$41)</f>
        <v>46413</v>
      </c>
      <c r="D33" s="20" t="str">
        <f aca="false">IF(MIN('Schedule Logic'!$U$41)&gt;=1,"✔ Done",IF(C33&lt;$C$4,"✖ Late",IF(NETWORKDAYS($C$4,C33,'Schedule Logic'!$M$6:$M$11)&lt;=10,"◆ Due soon","○ Upcoming")))</f>
        <v>○ Upcoming</v>
      </c>
    </row>
    <row r="34" customFormat="false" ht="15" hidden="false" customHeight="false" outlineLevel="0" collapsed="false">
      <c r="B34" s="18" t="s">
        <v>40</v>
      </c>
      <c r="C34" s="24" t="n">
        <f aca="false">MAX('Schedule Logic'!$H$88)</f>
        <v>46420</v>
      </c>
      <c r="D34" s="20" t="str">
        <f aca="false">IF(MIN('Schedule Logic'!$U$88)&gt;=1,"✔ Done",IF(C34&lt;$C$4,"✖ Late",IF(NETWORKDAYS($C$4,C34,'Schedule Logic'!$M$6:$M$11)&lt;=10,"◆ Due soon","○ Upcoming")))</f>
        <v>○ Upcoming</v>
      </c>
    </row>
    <row r="35" customFormat="false" ht="15" hidden="false" customHeight="false" outlineLevel="0" collapsed="false">
      <c r="B35" s="18" t="s">
        <v>41</v>
      </c>
      <c r="C35" s="24" t="n">
        <f aca="false">MAX('Schedule Logic'!$H$89,'Schedule Logic'!$H$106)</f>
        <v>46434</v>
      </c>
      <c r="D35" s="20" t="str">
        <f aca="false">IF(MIN('Schedule Logic'!$U$89,'Schedule Logic'!$U$106)&gt;=1,"✔ Done",IF(C35&lt;$C$4,"✖ Late",IF(NETWORKDAYS($C$4,C35,'Schedule Logic'!$M$6:$M$11)&lt;=10,"◆ Due soon","○ Upcoming")))</f>
        <v>○ Upcoming</v>
      </c>
    </row>
    <row r="36" customFormat="false" ht="15" hidden="false" customHeight="false" outlineLevel="0" collapsed="false">
      <c r="B36" s="18" t="s">
        <v>42</v>
      </c>
      <c r="C36" s="24" t="n">
        <f aca="false">MAX('Schedule Logic'!$H$73,'Schedule Logic'!$H$93,'Schedule Logic'!$H$109,'Schedule Logic'!$H$90,'Schedule Logic'!$H$120)</f>
        <v>46449</v>
      </c>
      <c r="D36" s="20" t="str">
        <f aca="false">IF(MIN('Schedule Logic'!$U$73,'Schedule Logic'!$U$93,'Schedule Logic'!$U$109,'Schedule Logic'!$U$90,'Schedule Logic'!$U$120)&gt;=1,"✔ Done",IF(C36&lt;$C$4,"✖ Late",IF(NETWORKDAYS($C$4,C36,'Schedule Logic'!$M$6:$M$11)&lt;=10,"◆ Due soon","○ Upcoming")))</f>
        <v>○ Upcoming</v>
      </c>
    </row>
    <row r="37" customFormat="false" ht="15" hidden="false" customHeight="false" outlineLevel="0" collapsed="false">
      <c r="B37" s="18" t="s">
        <v>43</v>
      </c>
      <c r="C37" s="24" t="n">
        <f aca="false">MAX('Schedule Logic'!$H$134)</f>
        <v>46465</v>
      </c>
      <c r="D37" s="20" t="str">
        <f aca="false">IF(MIN('Schedule Logic'!$U$134)&gt;=1,"✔ Done",IF(C37&lt;$C$4,"✖ Late",IF(NETWORKDAYS($C$4,C37,'Schedule Logic'!$M$6:$M$11)&lt;=10,"◆ Due soon","○ Upcoming")))</f>
        <v>○ Upcoming</v>
      </c>
    </row>
    <row r="38" customFormat="false" ht="15" hidden="false" customHeight="false" outlineLevel="0" collapsed="false">
      <c r="B38" s="18" t="s">
        <v>44</v>
      </c>
      <c r="C38" s="24" t="n">
        <f aca="false">MAX('Schedule Logic'!$H$135)</f>
        <v>46472</v>
      </c>
      <c r="D38" s="20" t="str">
        <f aca="false">IF(MIN('Schedule Logic'!$U$135)&gt;=1,"✔ Done",IF(C38&lt;$C$4,"✖ Late",IF(NETWORKDAYS($C$4,C38,'Schedule Logic'!$M$6:$M$11)&lt;=10,"◆ Due soon","○ Upcoming")))</f>
        <v>○ Upcoming</v>
      </c>
    </row>
    <row r="39" customFormat="false" ht="15" hidden="false" customHeight="false" outlineLevel="0" collapsed="false">
      <c r="B39" s="18" t="s">
        <v>45</v>
      </c>
      <c r="C39" s="24" t="n">
        <f aca="false">MAX('Schedule Logic'!$H$162,'Schedule Logic'!$H$159,'Schedule Logic'!$H$146,'Schedule Logic'!$H$151,'Schedule Logic'!$H$144)</f>
        <v>46437</v>
      </c>
      <c r="D39" s="20" t="str">
        <f aca="false">IF(MIN('Schedule Logic'!$U$162,'Schedule Logic'!$U$159,'Schedule Logic'!$U$146,'Schedule Logic'!$U$151,'Schedule Logic'!$U$144)&gt;=1,"✔ Done",IF(C39&lt;$C$4,"✖ Late",IF(NETWORKDAYS($C$4,C39,'Schedule Logic'!$M$6:$M$11)&lt;=10,"◆ Due soon","○ Upcoming")))</f>
        <v>○ Upcoming</v>
      </c>
    </row>
    <row r="40" customFormat="false" ht="15" hidden="false" customHeight="false" outlineLevel="0" collapsed="false">
      <c r="B40" s="18" t="s">
        <v>46</v>
      </c>
      <c r="C40" s="24" t="n">
        <f aca="false">MAX('Schedule Logic'!$H$139)</f>
        <v>46477</v>
      </c>
      <c r="D40" s="20" t="str">
        <f aca="false">IF(MIN('Schedule Logic'!$U$139)&gt;=1,"✔ Done",IF(C40&lt;$C$4,"✖ Late",IF(NETWORKDAYS($C$4,C40,'Schedule Logic'!$M$6:$M$11)&lt;=10,"◆ Due soon","○ Upcoming")))</f>
        <v>○ Upcoming</v>
      </c>
    </row>
    <row r="42" customFormat="false" ht="15" hidden="false" customHeight="false" outlineLevel="0" collapsed="false">
      <c r="B42" s="16" t="s">
        <v>47</v>
      </c>
    </row>
    <row r="43" customFormat="false" ht="15" hidden="false" customHeight="false" outlineLevel="0" collapsed="false">
      <c r="B43" s="17" t="s">
        <v>48</v>
      </c>
      <c r="C43" s="17" t="s">
        <v>49</v>
      </c>
      <c r="D43" s="17" t="s">
        <v>50</v>
      </c>
    </row>
    <row r="44" customFormat="false" ht="15" hidden="false" customHeight="false" outlineLevel="0" collapsed="false">
      <c r="B44" s="25" t="str">
        <f aca="false">IFERROR(INDEX('Schedule Logic'!$C$6:$C$166,MATCH(1,'Schedule Logic'!$Z$6:$Z$166,0)),"")</f>
        <v/>
      </c>
      <c r="C44" s="26" t="str">
        <f aca="false">IFERROR(INDEX('Schedule Logic'!$J$6:$J$166,MATCH(1,'Schedule Logic'!$Z$6:$Z$166,0)),"")</f>
        <v/>
      </c>
      <c r="D44" s="27" t="str">
        <f aca="false">IFERROR(NETWORKDAYS(INDEX('Schedule Logic'!$T$6:$T$166,MATCH(1,'Schedule Logic'!$Z$6:$Z$166,0)),$C$4,'Schedule Logic'!$M$6:$M$11)-1,"")</f>
        <v/>
      </c>
    </row>
    <row r="45" customFormat="false" ht="15" hidden="false" customHeight="false" outlineLevel="0" collapsed="false">
      <c r="B45" s="25" t="str">
        <f aca="false">IFERROR(INDEX('Schedule Logic'!$C$6:$C$166,MATCH(2,'Schedule Logic'!$Z$6:$Z$166,0)),"")</f>
        <v/>
      </c>
      <c r="C45" s="26" t="str">
        <f aca="false">IFERROR(INDEX('Schedule Logic'!$J$6:$J$166,MATCH(2,'Schedule Logic'!$Z$6:$Z$166,0)),"")</f>
        <v/>
      </c>
      <c r="D45" s="27" t="str">
        <f aca="false">IFERROR(NETWORKDAYS(INDEX('Schedule Logic'!$T$6:$T$166,MATCH(2,'Schedule Logic'!$Z$6:$Z$166,0)),$C$4,'Schedule Logic'!$M$6:$M$11)-1,"")</f>
        <v/>
      </c>
    </row>
    <row r="46" customFormat="false" ht="15" hidden="false" customHeight="false" outlineLevel="0" collapsed="false">
      <c r="B46" s="25" t="str">
        <f aca="false">IFERROR(INDEX('Schedule Logic'!$C$6:$C$166,MATCH(3,'Schedule Logic'!$Z$6:$Z$166,0)),"")</f>
        <v/>
      </c>
      <c r="C46" s="26" t="str">
        <f aca="false">IFERROR(INDEX('Schedule Logic'!$J$6:$J$166,MATCH(3,'Schedule Logic'!$Z$6:$Z$166,0)),"")</f>
        <v/>
      </c>
      <c r="D46" s="27" t="str">
        <f aca="false">IFERROR(NETWORKDAYS(INDEX('Schedule Logic'!$T$6:$T$166,MATCH(3,'Schedule Logic'!$Z$6:$Z$166,0)),$C$4,'Schedule Logic'!$M$6:$M$11)-1,"")</f>
        <v/>
      </c>
    </row>
    <row r="47" customFormat="false" ht="15" hidden="false" customHeight="false" outlineLevel="0" collapsed="false">
      <c r="B47" s="25" t="str">
        <f aca="false">IFERROR(INDEX('Schedule Logic'!$C$6:$C$166,MATCH(4,'Schedule Logic'!$Z$6:$Z$166,0)),"")</f>
        <v/>
      </c>
      <c r="C47" s="26" t="str">
        <f aca="false">IFERROR(INDEX('Schedule Logic'!$J$6:$J$166,MATCH(4,'Schedule Logic'!$Z$6:$Z$166,0)),"")</f>
        <v/>
      </c>
      <c r="D47" s="27" t="str">
        <f aca="false">IFERROR(NETWORKDAYS(INDEX('Schedule Logic'!$T$6:$T$166,MATCH(4,'Schedule Logic'!$Z$6:$Z$166,0)),$C$4,'Schedule Logic'!$M$6:$M$11)-1,"")</f>
        <v/>
      </c>
    </row>
    <row r="48" customFormat="false" ht="15" hidden="false" customHeight="false" outlineLevel="0" collapsed="false">
      <c r="B48" s="25" t="str">
        <f aca="false">IFERROR(INDEX('Schedule Logic'!$C$6:$C$166,MATCH(5,'Schedule Logic'!$Z$6:$Z$166,0)),"")</f>
        <v/>
      </c>
      <c r="C48" s="26" t="str">
        <f aca="false">IFERROR(INDEX('Schedule Logic'!$J$6:$J$166,MATCH(5,'Schedule Logic'!$Z$6:$Z$166,0)),"")</f>
        <v/>
      </c>
      <c r="D48" s="27" t="str">
        <f aca="false">IFERROR(NETWORKDAYS(INDEX('Schedule Logic'!$T$6:$T$166,MATCH(5,'Schedule Logic'!$Z$6:$Z$166,0)),$C$4,'Schedule Logic'!$M$6:$M$11)-1,"")</f>
        <v/>
      </c>
    </row>
    <row r="49" customFormat="false" ht="15" hidden="false" customHeight="false" outlineLevel="0" collapsed="false">
      <c r="B49" s="28" t="str">
        <f aca="false">IF(D7=0,"No late activities.",IF(D7&gt;5,"+ "&amp;(D7-5)&amp;" more - filter Schedule Logic column Y = TRUE",""))</f>
        <v>No late activities.</v>
      </c>
    </row>
    <row r="51" customFormat="false" ht="15" hidden="false" customHeight="false" outlineLevel="0" collapsed="false">
      <c r="B51" s="28" t="s">
        <v>51</v>
      </c>
    </row>
  </sheetData>
  <conditionalFormatting sqref="D7">
    <cfRule type="expression" priority="2" aboveAverage="0" equalAverage="0" bottom="0" percent="0" rank="0" text="" dxfId="0">
      <formula>D7&gt;0</formula>
    </cfRule>
  </conditionalFormatting>
  <conditionalFormatting sqref="E7">
    <cfRule type="expression" priority="3" aboveAverage="0" equalAverage="0" bottom="0" percent="0" rank="0" text="" dxfId="1">
      <formula>LEFT(E7,1)="✔"</formula>
    </cfRule>
    <cfRule type="expression" priority="4" aboveAverage="0" equalAverage="0" bottom="0" percent="0" rank="0" text="" dxfId="2">
      <formula>LEFT(E7,1)="▲"</formula>
    </cfRule>
    <cfRule type="expression" priority="5" aboveAverage="0" equalAverage="0" bottom="0" percent="0" rank="0" text="" dxfId="2">
      <formula>LEFT(E7,1)="◆"</formula>
    </cfRule>
    <cfRule type="expression" priority="6" aboveAverage="0" equalAverage="0" bottom="0" percent="0" rank="0" text="" dxfId="3">
      <formula>LEFT(E7,1)="✖"</formula>
    </cfRule>
    <cfRule type="expression" priority="7" aboveAverage="0" equalAverage="0" bottom="0" percent="0" rank="0" text="" dxfId="4">
      <formula>LEFT(E7,1)="○"</formula>
    </cfRule>
  </conditionalFormatting>
  <conditionalFormatting sqref="E12:E23">
    <cfRule type="expression" priority="8" aboveAverage="0" equalAverage="0" bottom="0" percent="0" rank="0" text="" dxfId="1">
      <formula>LEFT(E12,1)="✔"</formula>
    </cfRule>
    <cfRule type="expression" priority="9" aboveAverage="0" equalAverage="0" bottom="0" percent="0" rank="0" text="" dxfId="2">
      <formula>LEFT(E12,1)="▲"</formula>
    </cfRule>
    <cfRule type="expression" priority="10" aboveAverage="0" equalAverage="0" bottom="0" percent="0" rank="0" text="" dxfId="2">
      <formula>LEFT(E12,1)="◆"</formula>
    </cfRule>
    <cfRule type="expression" priority="11" aboveAverage="0" equalAverage="0" bottom="0" percent="0" rank="0" text="" dxfId="3">
      <formula>LEFT(E12,1)="✖"</formula>
    </cfRule>
    <cfRule type="expression" priority="12" aboveAverage="0" equalAverage="0" bottom="0" percent="0" rank="0" text="" dxfId="4">
      <formula>LEFT(E12,1)="○"</formula>
    </cfRule>
  </conditionalFormatting>
  <conditionalFormatting sqref="D12:D22">
    <cfRule type="dataBar" priority="13">
      <dataBar showValue="1" minLength="10" maxLength="90">
        <cfvo type="num" val="0"/>
        <cfvo type="num" val="1"/>
        <color rgb="FFEB6834"/>
      </dataBar>
      <extLst>
        <ext xmlns:x14="http://schemas.microsoft.com/office/spreadsheetml/2009/9/main" uri="{B025F937-C7B1-47D3-B67F-A62EFF666E3E}">
          <x14:id>{E149179C-8ED0-4FBE-8FDF-368B96EAAD5E}</x14:id>
        </ext>
      </extLst>
    </cfRule>
  </conditionalFormatting>
  <conditionalFormatting sqref="D27:D40">
    <cfRule type="expression" priority="14" aboveAverage="0" equalAverage="0" bottom="0" percent="0" rank="0" text="" dxfId="1">
      <formula>LEFT(D27,1)="✔"</formula>
    </cfRule>
    <cfRule type="expression" priority="15" aboveAverage="0" equalAverage="0" bottom="0" percent="0" rank="0" text="" dxfId="2">
      <formula>LEFT(D27,1)="▲"</formula>
    </cfRule>
    <cfRule type="expression" priority="16" aboveAverage="0" equalAverage="0" bottom="0" percent="0" rank="0" text="" dxfId="2">
      <formula>LEFT(D27,1)="◆"</formula>
    </cfRule>
    <cfRule type="expression" priority="17" aboveAverage="0" equalAverage="0" bottom="0" percent="0" rank="0" text="" dxfId="3">
      <formula>LEFT(D27,1)="✖"</formula>
    </cfRule>
    <cfRule type="expression" priority="18" aboveAverage="0" equalAverage="0" bottom="0" percent="0" rank="0" text="" dxfId="4">
      <formula>LEFT(D27,1)="○"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149179C-8ED0-4FBE-8FDF-368B96EAAD5E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EB6834"/>
              <x14:axisColor rgb="FF000000"/>
            </x14:dataBar>
          </x14:cfRule>
          <xm:sqref>D12:D22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2514E"/>
    <pageSetUpPr fitToPage="false"/>
  </sheetPr>
  <dimension ref="A1:AJ4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9" topLeftCell="D10" activePane="bottomRight" state="frozen"/>
      <selection pane="topLeft" activeCell="A1" activeCellId="0" sqref="A1"/>
      <selection pane="topRight" activeCell="D1" activeCellId="0" sqref="D1"/>
      <selection pane="bottomLeft" activeCell="A10" activeCellId="0" sqref="A10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10" min="2" style="0" width="14"/>
    <col collapsed="false" customWidth="true" hidden="false" outlineLevel="0" max="11" min="11" style="0" width="22"/>
    <col collapsed="false" customWidth="true" hidden="false" outlineLevel="0" max="13" min="12" style="0" width="14"/>
    <col collapsed="false" customWidth="true" hidden="false" outlineLevel="0" max="14" min="14" style="0" width="22"/>
    <col collapsed="false" customWidth="true" hidden="false" outlineLevel="0" max="36" min="15" style="0" width="14"/>
  </cols>
  <sheetData>
    <row r="1" customFormat="false" ht="17.35" hidden="false" customHeight="false" outlineLevel="0" collapsed="false">
      <c r="A1" s="29" t="s">
        <v>52</v>
      </c>
    </row>
    <row r="2" customFormat="false" ht="15" hidden="false" customHeight="false" outlineLevel="0" collapsed="false">
      <c r="A2" s="30" t="s">
        <v>53</v>
      </c>
    </row>
    <row r="4" customFormat="false" ht="15" hidden="false" customHeight="false" outlineLevel="0" collapsed="false">
      <c r="A4" s="31" t="s">
        <v>54</v>
      </c>
    </row>
    <row r="5" customFormat="false" ht="42" hidden="false" customHeight="true" outlineLevel="0" collapsed="false">
      <c r="A5" s="32" t="s">
        <v>55</v>
      </c>
      <c r="B5" s="32" t="s">
        <v>56</v>
      </c>
      <c r="C5" s="32" t="s">
        <v>57</v>
      </c>
      <c r="D5" s="32" t="s">
        <v>15</v>
      </c>
      <c r="E5" s="32" t="s">
        <v>16</v>
      </c>
      <c r="F5" s="32" t="s">
        <v>58</v>
      </c>
      <c r="G5" s="32" t="s">
        <v>59</v>
      </c>
      <c r="H5" s="32" t="s">
        <v>60</v>
      </c>
      <c r="I5" s="32" t="s">
        <v>61</v>
      </c>
      <c r="J5" s="32" t="s">
        <v>62</v>
      </c>
      <c r="K5" s="32" t="s">
        <v>63</v>
      </c>
      <c r="L5" s="32" t="s">
        <v>64</v>
      </c>
      <c r="M5" s="32" t="s">
        <v>65</v>
      </c>
      <c r="N5" s="32" t="s">
        <v>66</v>
      </c>
      <c r="O5" s="32" t="s">
        <v>67</v>
      </c>
      <c r="P5" s="32" t="s">
        <v>68</v>
      </c>
      <c r="Q5" s="32" t="s">
        <v>69</v>
      </c>
      <c r="R5" s="32" t="s">
        <v>70</v>
      </c>
      <c r="S5" s="32" t="s">
        <v>71</v>
      </c>
      <c r="T5" s="32" t="s">
        <v>72</v>
      </c>
      <c r="U5" s="32" t="s">
        <v>73</v>
      </c>
      <c r="V5" s="32" t="s">
        <v>74</v>
      </c>
      <c r="W5" s="32" t="s">
        <v>75</v>
      </c>
      <c r="X5" s="32" t="s">
        <v>76</v>
      </c>
      <c r="Y5" s="32" t="s">
        <v>77</v>
      </c>
      <c r="Z5" s="32" t="s">
        <v>78</v>
      </c>
      <c r="AA5" s="32" t="s">
        <v>79</v>
      </c>
      <c r="AB5" s="32" t="s">
        <v>80</v>
      </c>
      <c r="AC5" s="32" t="s">
        <v>81</v>
      </c>
      <c r="AD5" s="32" t="s">
        <v>82</v>
      </c>
      <c r="AE5" s="32" t="s">
        <v>83</v>
      </c>
      <c r="AF5" s="32" t="s">
        <v>84</v>
      </c>
      <c r="AG5" s="32" t="s">
        <v>85</v>
      </c>
      <c r="AH5" s="32" t="s">
        <v>86</v>
      </c>
      <c r="AI5" s="32" t="s">
        <v>87</v>
      </c>
      <c r="AJ5" s="32" t="s">
        <v>88</v>
      </c>
    </row>
    <row r="6" customFormat="false" ht="15" hidden="false" customHeight="false" outlineLevel="0" collapsed="false">
      <c r="A6" s="33" t="s">
        <v>89</v>
      </c>
      <c r="B6" s="34" t="n">
        <f aca="false">Dashboard!$C$4</f>
        <v>46289</v>
      </c>
      <c r="C6" s="35"/>
      <c r="D6" s="36" t="n">
        <f aca="false">IF(SUM('Schedule Logic'!$R$6:$R$166)=0,0,SUM('Schedule Logic'!$X$6:$X$166)/SUM('Schedule Logic'!$R$6:$R$166))</f>
        <v>0</v>
      </c>
      <c r="E6" s="36" t="n">
        <f aca="false">IF(SUM('Schedule Logic'!$R$6:$R$166)=0,0,SUM('Schedule Logic'!$W$6:$W$166)/SUM('Schedule Logic'!$R$6:$R$166))</f>
        <v>0.00447093889716841</v>
      </c>
      <c r="F6" s="37" t="n">
        <f aca="false">(E6-D6)*100</f>
        <v>0.447093889716841</v>
      </c>
      <c r="G6" s="38" t="str">
        <f aca="false">IF(SUM('Schedule Logic'!$X$6:$X$166)=0,"n/a",SUM('Schedule Logic'!$W$6:$W$166)/SUM('Schedule Logic'!$X$6:$X$166))</f>
        <v>n/a</v>
      </c>
      <c r="H6" s="39" t="n">
        <f aca="false">SUM('Schedule Logic'!$W$6:$W$166)-SUM('Schedule Logic'!$X$6:$X$166)</f>
        <v>9</v>
      </c>
      <c r="I6" s="40" t="n">
        <f aca="false">COUNTIF('Schedule Logic'!$Y$6:$Y$166,TRUE())</f>
        <v>0</v>
      </c>
      <c r="J6" s="40" t="n">
        <f aca="false">COUNTIF('Schedule Logic'!$AA$6:$AA$166,TRUE())</f>
        <v>8</v>
      </c>
      <c r="K6" s="35" t="str">
        <f aca="false">Dashboard!$E$7</f>
        <v>✔ Ahead of plan</v>
      </c>
      <c r="L6" s="40" t="n">
        <f aca="false">COUNTIF(Dashboard!$D$27:$D$40,"✔ Done")</f>
        <v>0</v>
      </c>
      <c r="M6" s="40" t="n">
        <f aca="false">COUNTIF(Dashboard!$D$27:$D$40,"✖ Late")</f>
        <v>0</v>
      </c>
      <c r="N6" s="35" t="str">
        <f aca="false">IFERROR(INDEX(Dashboard!$B$27:$B$40,MATCH("✖ Late",Dashboard!$D$27:$D$40,0)),"-")</f>
        <v>-</v>
      </c>
      <c r="O6" s="41" t="n">
        <f aca="false">IF(SUMIF('Schedule Logic'!$P$6:$P$166,"Pre-Construction",'Schedule Logic'!$R$6:$R$166)=0,0,SUMIF('Schedule Logic'!$P$6:$P$166,"Pre-Construction",'Schedule Logic'!$X$6:$X$166)/SUMIF('Schedule Logic'!$P$6:$P$166,"Pre-Construction",'Schedule Logic'!$R$6:$R$166))</f>
        <v>0</v>
      </c>
      <c r="P6" s="41" t="n">
        <f aca="false">IF(SUMIF('Schedule Logic'!$P$6:$P$166,"Pre-Construction",'Schedule Logic'!$R$6:$R$166)=0,0,SUMIF('Schedule Logic'!$P$6:$P$166,"Pre-Construction",'Schedule Logic'!$W$6:$W$166)/SUMIF('Schedule Logic'!$P$6:$P$166,"Pre-Construction",'Schedule Logic'!$R$6:$R$166))</f>
        <v>0.0418604651162791</v>
      </c>
      <c r="Q6" s="41" t="n">
        <f aca="false">IF(SUMIF('Schedule Logic'!$P$6:$P$166,"Interior - Demo/Structure",'Schedule Logic'!$R$6:$R$166)=0,0,SUMIF('Schedule Logic'!$P$6:$P$166,"Interior - Demo/Structure",'Schedule Logic'!$X$6:$X$166)/SUMIF('Schedule Logic'!$P$6:$P$166,"Interior - Demo/Structure",'Schedule Logic'!$R$6:$R$166))</f>
        <v>0</v>
      </c>
      <c r="R6" s="41" t="n">
        <f aca="false">IF(SUMIF('Schedule Logic'!$P$6:$P$166,"Interior - Demo/Structure",'Schedule Logic'!$R$6:$R$166)=0,0,SUMIF('Schedule Logic'!$P$6:$P$166,"Interior - Demo/Structure",'Schedule Logic'!$W$6:$W$166)/SUMIF('Schedule Logic'!$P$6:$P$166,"Interior - Demo/Structure",'Schedule Logic'!$R$6:$R$166))</f>
        <v>0</v>
      </c>
      <c r="S6" s="41" t="n">
        <f aca="false">IF(SUMIF('Schedule Logic'!$P$6:$P$166,"Interior - Electrical",'Schedule Logic'!$R$6:$R$166)=0,0,SUMIF('Schedule Logic'!$P$6:$P$166,"Interior - Electrical",'Schedule Logic'!$X$6:$X$166)/SUMIF('Schedule Logic'!$P$6:$P$166,"Interior - Electrical",'Schedule Logic'!$R$6:$R$166))</f>
        <v>0</v>
      </c>
      <c r="T6" s="41" t="n">
        <f aca="false">IF(SUMIF('Schedule Logic'!$P$6:$P$166,"Interior - Electrical",'Schedule Logic'!$R$6:$R$166)=0,0,SUMIF('Schedule Logic'!$P$6:$P$166,"Interior - Electrical",'Schedule Logic'!$W$6:$W$166)/SUMIF('Schedule Logic'!$P$6:$P$166,"Interior - Electrical",'Schedule Logic'!$R$6:$R$166))</f>
        <v>0</v>
      </c>
      <c r="U6" s="41" t="n">
        <f aca="false">IF(SUMIF('Schedule Logic'!$P$6:$P$166,"Interior - Plumbing",'Schedule Logic'!$R$6:$R$166)=0,0,SUMIF('Schedule Logic'!$P$6:$P$166,"Interior - Plumbing",'Schedule Logic'!$X$6:$X$166)/SUMIF('Schedule Logic'!$P$6:$P$166,"Interior - Plumbing",'Schedule Logic'!$R$6:$R$166))</f>
        <v>0</v>
      </c>
      <c r="V6" s="41" t="n">
        <f aca="false">IF(SUMIF('Schedule Logic'!$P$6:$P$166,"Interior - Plumbing",'Schedule Logic'!$R$6:$R$166)=0,0,SUMIF('Schedule Logic'!$P$6:$P$166,"Interior - Plumbing",'Schedule Logic'!$W$6:$W$166)/SUMIF('Schedule Logic'!$P$6:$P$166,"Interior - Plumbing",'Schedule Logic'!$R$6:$R$166))</f>
        <v>0</v>
      </c>
      <c r="W6" s="41" t="n">
        <f aca="false">IF(SUMIF('Schedule Logic'!$P$6:$P$166,"Interior - HVAC",'Schedule Logic'!$R$6:$R$166)=0,0,SUMIF('Schedule Logic'!$P$6:$P$166,"Interior - HVAC",'Schedule Logic'!$X$6:$X$166)/SUMIF('Schedule Logic'!$P$6:$P$166,"Interior - HVAC",'Schedule Logic'!$R$6:$R$166))</f>
        <v>0</v>
      </c>
      <c r="X6" s="41" t="n">
        <f aca="false">IF(SUMIF('Schedule Logic'!$P$6:$P$166,"Interior - HVAC",'Schedule Logic'!$R$6:$R$166)=0,0,SUMIF('Schedule Logic'!$P$6:$P$166,"Interior - HVAC",'Schedule Logic'!$W$6:$W$166)/SUMIF('Schedule Logic'!$P$6:$P$166,"Interior - HVAC",'Schedule Logic'!$R$6:$R$166))</f>
        <v>0</v>
      </c>
      <c r="Y6" s="41" t="n">
        <f aca="false">IF(SUMIF('Schedule Logic'!$P$6:$P$166,"Kitchen",'Schedule Logic'!$R$6:$R$166)=0,0,SUMIF('Schedule Logic'!$P$6:$P$166,"Kitchen",'Schedule Logic'!$X$6:$X$166)/SUMIF('Schedule Logic'!$P$6:$P$166,"Kitchen",'Schedule Logic'!$R$6:$R$166))</f>
        <v>0</v>
      </c>
      <c r="Z6" s="41" t="n">
        <f aca="false">IF(SUMIF('Schedule Logic'!$P$6:$P$166,"Kitchen",'Schedule Logic'!$R$6:$R$166)=0,0,SUMIF('Schedule Logic'!$P$6:$P$166,"Kitchen",'Schedule Logic'!$W$6:$W$166)/SUMIF('Schedule Logic'!$P$6:$P$166,"Kitchen",'Schedule Logic'!$R$6:$R$166))</f>
        <v>0</v>
      </c>
      <c r="AA6" s="41" t="n">
        <f aca="false">IF(SUMIF('Schedule Logic'!$P$6:$P$166,"Bath - Master",'Schedule Logic'!$R$6:$R$166)=0,0,SUMIF('Schedule Logic'!$P$6:$P$166,"Bath - Master",'Schedule Logic'!$X$6:$X$166)/SUMIF('Schedule Logic'!$P$6:$P$166,"Bath - Master",'Schedule Logic'!$R$6:$R$166))</f>
        <v>0</v>
      </c>
      <c r="AB6" s="41" t="n">
        <f aca="false">IF(SUMIF('Schedule Logic'!$P$6:$P$166,"Bath - Master",'Schedule Logic'!$R$6:$R$166)=0,0,SUMIF('Schedule Logic'!$P$6:$P$166,"Bath - Master",'Schedule Logic'!$W$6:$W$166)/SUMIF('Schedule Logic'!$P$6:$P$166,"Bath - Master",'Schedule Logic'!$R$6:$R$166))</f>
        <v>0</v>
      </c>
      <c r="AC6" s="41" t="n">
        <f aca="false">IF(SUMIF('Schedule Logic'!$P$6:$P$166,"Bath - Secondary",'Schedule Logic'!$R$6:$R$166)=0,0,SUMIF('Schedule Logic'!$P$6:$P$166,"Bath - Secondary",'Schedule Logic'!$X$6:$X$166)/SUMIF('Schedule Logic'!$P$6:$P$166,"Bath - Secondary",'Schedule Logic'!$R$6:$R$166))</f>
        <v>0</v>
      </c>
      <c r="AD6" s="41" t="n">
        <f aca="false">IF(SUMIF('Schedule Logic'!$P$6:$P$166,"Bath - Secondary",'Schedule Logic'!$R$6:$R$166)=0,0,SUMIF('Schedule Logic'!$P$6:$P$166,"Bath - Secondary",'Schedule Logic'!$W$6:$W$166)/SUMIF('Schedule Logic'!$P$6:$P$166,"Bath - Secondary",'Schedule Logic'!$R$6:$R$166))</f>
        <v>0</v>
      </c>
      <c r="AE6" s="41" t="n">
        <f aca="false">IF(SUMIF('Schedule Logic'!$P$6:$P$166,"Interior - Finishes",'Schedule Logic'!$R$6:$R$166)=0,0,SUMIF('Schedule Logic'!$P$6:$P$166,"Interior - Finishes",'Schedule Logic'!$X$6:$X$166)/SUMIF('Schedule Logic'!$P$6:$P$166,"Interior - Finishes",'Schedule Logic'!$R$6:$R$166))</f>
        <v>0</v>
      </c>
      <c r="AF6" s="41" t="n">
        <f aca="false">IF(SUMIF('Schedule Logic'!$P$6:$P$166,"Interior - Finishes",'Schedule Logic'!$R$6:$R$166)=0,0,SUMIF('Schedule Logic'!$P$6:$P$166,"Interior - Finishes",'Schedule Logic'!$W$6:$W$166)/SUMIF('Schedule Logic'!$P$6:$P$166,"Interior - Finishes",'Schedule Logic'!$R$6:$R$166))</f>
        <v>0</v>
      </c>
      <c r="AG6" s="41" t="n">
        <f aca="false">IF(SUMIF('Schedule Logic'!$P$6:$P$166,"Closeout",'Schedule Logic'!$R$6:$R$166)=0,0,SUMIF('Schedule Logic'!$P$6:$P$166,"Closeout",'Schedule Logic'!$X$6:$X$166)/SUMIF('Schedule Logic'!$P$6:$P$166,"Closeout",'Schedule Logic'!$R$6:$R$166))</f>
        <v>0</v>
      </c>
      <c r="AH6" s="41" t="n">
        <f aca="false">IF(SUMIF('Schedule Logic'!$P$6:$P$166,"Closeout",'Schedule Logic'!$R$6:$R$166)=0,0,SUMIF('Schedule Logic'!$P$6:$P$166,"Closeout",'Schedule Logic'!$W$6:$W$166)/SUMIF('Schedule Logic'!$P$6:$P$166,"Closeout",'Schedule Logic'!$R$6:$R$166))</f>
        <v>0</v>
      </c>
      <c r="AI6" s="41" t="n">
        <f aca="false">IF(SUMIF('Schedule Logic'!$P$6:$P$166,"Exterior",'Schedule Logic'!$R$6:$R$166)=0,0,SUMIF('Schedule Logic'!$P$6:$P$166,"Exterior",'Schedule Logic'!$X$6:$X$166)/SUMIF('Schedule Logic'!$P$6:$P$166,"Exterior",'Schedule Logic'!$R$6:$R$166))</f>
        <v>0</v>
      </c>
      <c r="AJ6" s="41" t="n">
        <f aca="false">IF(SUMIF('Schedule Logic'!$P$6:$P$166,"Exterior",'Schedule Logic'!$R$6:$R$166)=0,0,SUMIF('Schedule Logic'!$P$6:$P$166,"Exterior",'Schedule Logic'!$W$6:$W$166)/SUMIF('Schedule Logic'!$P$6:$P$166,"Exterior",'Schedule Logic'!$R$6:$R$166))</f>
        <v>0</v>
      </c>
    </row>
    <row r="8" customFormat="false" ht="15" hidden="false" customHeight="false" outlineLevel="0" collapsed="false">
      <c r="A8" s="31" t="s">
        <v>90</v>
      </c>
    </row>
    <row r="9" customFormat="false" ht="42" hidden="false" customHeight="true" outlineLevel="0" collapsed="false">
      <c r="A9" s="17" t="s">
        <v>55</v>
      </c>
      <c r="B9" s="17" t="s">
        <v>56</v>
      </c>
      <c r="C9" s="17" t="s">
        <v>57</v>
      </c>
      <c r="D9" s="17" t="s">
        <v>15</v>
      </c>
      <c r="E9" s="17" t="s">
        <v>16</v>
      </c>
      <c r="F9" s="17" t="s">
        <v>58</v>
      </c>
      <c r="G9" s="17" t="s">
        <v>59</v>
      </c>
      <c r="H9" s="17" t="s">
        <v>60</v>
      </c>
      <c r="I9" s="17" t="s">
        <v>61</v>
      </c>
      <c r="J9" s="17" t="s">
        <v>62</v>
      </c>
      <c r="K9" s="17" t="s">
        <v>63</v>
      </c>
      <c r="L9" s="17" t="s">
        <v>64</v>
      </c>
      <c r="M9" s="17" t="s">
        <v>65</v>
      </c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  <c r="S9" s="17" t="s">
        <v>71</v>
      </c>
      <c r="T9" s="17" t="s">
        <v>72</v>
      </c>
      <c r="U9" s="17" t="s">
        <v>73</v>
      </c>
      <c r="V9" s="17" t="s">
        <v>74</v>
      </c>
      <c r="W9" s="17" t="s">
        <v>75</v>
      </c>
      <c r="X9" s="17" t="s">
        <v>76</v>
      </c>
      <c r="Y9" s="17" t="s">
        <v>77</v>
      </c>
      <c r="Z9" s="17" t="s">
        <v>78</v>
      </c>
      <c r="AA9" s="17" t="s">
        <v>79</v>
      </c>
      <c r="AB9" s="17" t="s">
        <v>80</v>
      </c>
      <c r="AC9" s="17" t="s">
        <v>81</v>
      </c>
      <c r="AD9" s="17" t="s">
        <v>82</v>
      </c>
      <c r="AE9" s="17" t="s">
        <v>83</v>
      </c>
      <c r="AF9" s="17" t="s">
        <v>84</v>
      </c>
      <c r="AG9" s="17" t="s">
        <v>85</v>
      </c>
      <c r="AH9" s="17" t="s">
        <v>86</v>
      </c>
      <c r="AI9" s="17" t="s">
        <v>87</v>
      </c>
      <c r="AJ9" s="17" t="s">
        <v>88</v>
      </c>
    </row>
    <row r="10" customFormat="false" ht="15" hidden="false" customHeight="false" outlineLevel="0" collapsed="false">
      <c r="A10" s="8"/>
      <c r="B10" s="42"/>
      <c r="C10" s="43"/>
      <c r="D10" s="44"/>
      <c r="E10" s="44"/>
      <c r="F10" s="45"/>
      <c r="G10" s="46"/>
      <c r="H10" s="47"/>
      <c r="I10" s="9"/>
      <c r="J10" s="9"/>
      <c r="K10" s="43"/>
      <c r="L10" s="9"/>
      <c r="M10" s="9"/>
      <c r="N10" s="43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  <c r="AA10" s="48"/>
      <c r="AB10" s="48"/>
      <c r="AC10" s="48"/>
      <c r="AD10" s="48"/>
      <c r="AE10" s="48"/>
      <c r="AF10" s="48"/>
      <c r="AG10" s="48"/>
      <c r="AH10" s="48"/>
      <c r="AI10" s="48"/>
      <c r="AJ10" s="48"/>
    </row>
    <row r="11" customFormat="false" ht="15" hidden="false" customHeight="false" outlineLevel="0" collapsed="false">
      <c r="A11" s="8"/>
      <c r="B11" s="42"/>
      <c r="C11" s="43"/>
      <c r="D11" s="44"/>
      <c r="E11" s="44"/>
      <c r="F11" s="45"/>
      <c r="G11" s="46"/>
      <c r="H11" s="47"/>
      <c r="I11" s="9"/>
      <c r="J11" s="9"/>
      <c r="K11" s="43"/>
      <c r="L11" s="9"/>
      <c r="M11" s="9"/>
      <c r="N11" s="43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</row>
    <row r="12" customFormat="false" ht="15" hidden="false" customHeight="false" outlineLevel="0" collapsed="false">
      <c r="A12" s="8"/>
      <c r="B12" s="42"/>
      <c r="C12" s="43"/>
      <c r="D12" s="44"/>
      <c r="E12" s="44"/>
      <c r="F12" s="45"/>
      <c r="G12" s="46"/>
      <c r="H12" s="47"/>
      <c r="I12" s="9"/>
      <c r="J12" s="9"/>
      <c r="K12" s="43"/>
      <c r="L12" s="9"/>
      <c r="M12" s="9"/>
      <c r="N12" s="43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  <c r="AA12" s="48"/>
      <c r="AB12" s="48"/>
      <c r="AC12" s="48"/>
      <c r="AD12" s="48"/>
      <c r="AE12" s="48"/>
      <c r="AF12" s="48"/>
      <c r="AG12" s="48"/>
      <c r="AH12" s="48"/>
      <c r="AI12" s="48"/>
      <c r="AJ12" s="48"/>
    </row>
    <row r="13" customFormat="false" ht="15" hidden="false" customHeight="false" outlineLevel="0" collapsed="false">
      <c r="A13" s="8"/>
      <c r="B13" s="42"/>
      <c r="C13" s="43"/>
      <c r="D13" s="44"/>
      <c r="E13" s="44"/>
      <c r="F13" s="45"/>
      <c r="G13" s="46"/>
      <c r="H13" s="47"/>
      <c r="I13" s="9"/>
      <c r="J13" s="9"/>
      <c r="K13" s="43"/>
      <c r="L13" s="9"/>
      <c r="M13" s="9"/>
      <c r="N13" s="43"/>
      <c r="O13" s="48"/>
      <c r="P13" s="48"/>
      <c r="Q13" s="48"/>
      <c r="R13" s="48"/>
      <c r="S13" s="48"/>
      <c r="T13" s="48"/>
      <c r="U13" s="48"/>
      <c r="V13" s="48"/>
      <c r="W13" s="48"/>
      <c r="X13" s="48"/>
      <c r="Y13" s="48"/>
      <c r="Z13" s="48"/>
      <c r="AA13" s="48"/>
      <c r="AB13" s="48"/>
      <c r="AC13" s="48"/>
      <c r="AD13" s="48"/>
      <c r="AE13" s="48"/>
      <c r="AF13" s="48"/>
      <c r="AG13" s="48"/>
      <c r="AH13" s="48"/>
      <c r="AI13" s="48"/>
      <c r="AJ13" s="48"/>
    </row>
    <row r="14" customFormat="false" ht="15" hidden="false" customHeight="false" outlineLevel="0" collapsed="false">
      <c r="A14" s="8"/>
      <c r="B14" s="42"/>
      <c r="C14" s="43"/>
      <c r="D14" s="44"/>
      <c r="E14" s="44"/>
      <c r="F14" s="45"/>
      <c r="G14" s="46"/>
      <c r="H14" s="47"/>
      <c r="I14" s="9"/>
      <c r="J14" s="9"/>
      <c r="K14" s="43"/>
      <c r="L14" s="9"/>
      <c r="M14" s="9"/>
      <c r="N14" s="43"/>
      <c r="O14" s="48"/>
      <c r="P14" s="48"/>
      <c r="Q14" s="48"/>
      <c r="R14" s="48"/>
      <c r="S14" s="48"/>
      <c r="T14" s="48"/>
      <c r="U14" s="48"/>
      <c r="V14" s="48"/>
      <c r="W14" s="48"/>
      <c r="X14" s="48"/>
      <c r="Y14" s="48"/>
      <c r="Z14" s="48"/>
      <c r="AA14" s="48"/>
      <c r="AB14" s="48"/>
      <c r="AC14" s="48"/>
      <c r="AD14" s="48"/>
      <c r="AE14" s="48"/>
      <c r="AF14" s="48"/>
      <c r="AG14" s="48"/>
      <c r="AH14" s="48"/>
      <c r="AI14" s="48"/>
      <c r="AJ14" s="48"/>
    </row>
    <row r="15" customFormat="false" ht="15" hidden="false" customHeight="false" outlineLevel="0" collapsed="false">
      <c r="A15" s="8"/>
      <c r="B15" s="42"/>
      <c r="C15" s="43"/>
      <c r="D15" s="44"/>
      <c r="E15" s="44"/>
      <c r="F15" s="45"/>
      <c r="G15" s="46"/>
      <c r="H15" s="47"/>
      <c r="I15" s="9"/>
      <c r="J15" s="9"/>
      <c r="K15" s="43"/>
      <c r="L15" s="9"/>
      <c r="M15" s="9"/>
      <c r="N15" s="43"/>
      <c r="O15" s="48"/>
      <c r="P15" s="48"/>
      <c r="Q15" s="48"/>
      <c r="R15" s="48"/>
      <c r="S15" s="48"/>
      <c r="T15" s="48"/>
      <c r="U15" s="48"/>
      <c r="V15" s="48"/>
      <c r="W15" s="48"/>
      <c r="X15" s="48"/>
      <c r="Y15" s="48"/>
      <c r="Z15" s="48"/>
      <c r="AA15" s="48"/>
      <c r="AB15" s="48"/>
      <c r="AC15" s="48"/>
      <c r="AD15" s="48"/>
      <c r="AE15" s="48"/>
      <c r="AF15" s="48"/>
      <c r="AG15" s="48"/>
      <c r="AH15" s="48"/>
      <c r="AI15" s="48"/>
      <c r="AJ15" s="48"/>
    </row>
    <row r="16" customFormat="false" ht="15" hidden="false" customHeight="false" outlineLevel="0" collapsed="false">
      <c r="A16" s="8"/>
      <c r="B16" s="42"/>
      <c r="C16" s="43"/>
      <c r="D16" s="44"/>
      <c r="E16" s="44"/>
      <c r="F16" s="45"/>
      <c r="G16" s="46"/>
      <c r="H16" s="47"/>
      <c r="I16" s="9"/>
      <c r="J16" s="9"/>
      <c r="K16" s="43"/>
      <c r="L16" s="9"/>
      <c r="M16" s="9"/>
      <c r="N16" s="43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  <c r="AA16" s="48"/>
      <c r="AB16" s="48"/>
      <c r="AC16" s="48"/>
      <c r="AD16" s="48"/>
      <c r="AE16" s="48"/>
      <c r="AF16" s="48"/>
      <c r="AG16" s="48"/>
      <c r="AH16" s="48"/>
      <c r="AI16" s="48"/>
      <c r="AJ16" s="48"/>
    </row>
    <row r="17" customFormat="false" ht="15" hidden="false" customHeight="false" outlineLevel="0" collapsed="false">
      <c r="A17" s="8"/>
      <c r="B17" s="42"/>
      <c r="C17" s="43"/>
      <c r="D17" s="44"/>
      <c r="E17" s="44"/>
      <c r="F17" s="45"/>
      <c r="G17" s="46"/>
      <c r="H17" s="47"/>
      <c r="I17" s="9"/>
      <c r="J17" s="9"/>
      <c r="K17" s="43"/>
      <c r="L17" s="9"/>
      <c r="M17" s="9"/>
      <c r="N17" s="43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  <c r="AA17" s="48"/>
      <c r="AB17" s="48"/>
      <c r="AC17" s="48"/>
      <c r="AD17" s="48"/>
      <c r="AE17" s="48"/>
      <c r="AF17" s="48"/>
      <c r="AG17" s="48"/>
      <c r="AH17" s="48"/>
      <c r="AI17" s="48"/>
      <c r="AJ17" s="48"/>
    </row>
    <row r="18" customFormat="false" ht="15" hidden="false" customHeight="false" outlineLevel="0" collapsed="false">
      <c r="A18" s="8"/>
      <c r="B18" s="42"/>
      <c r="C18" s="43"/>
      <c r="D18" s="44"/>
      <c r="E18" s="44"/>
      <c r="F18" s="45"/>
      <c r="G18" s="46"/>
      <c r="H18" s="47"/>
      <c r="I18" s="9"/>
      <c r="J18" s="9"/>
      <c r="K18" s="43"/>
      <c r="L18" s="9"/>
      <c r="M18" s="9"/>
      <c r="N18" s="43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</row>
    <row r="19" customFormat="false" ht="15" hidden="false" customHeight="false" outlineLevel="0" collapsed="false">
      <c r="A19" s="8"/>
      <c r="B19" s="42"/>
      <c r="C19" s="43"/>
      <c r="D19" s="44"/>
      <c r="E19" s="44"/>
      <c r="F19" s="45"/>
      <c r="G19" s="46"/>
      <c r="H19" s="47"/>
      <c r="I19" s="9"/>
      <c r="J19" s="9"/>
      <c r="K19" s="43"/>
      <c r="L19" s="9"/>
      <c r="M19" s="9"/>
      <c r="N19" s="43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</row>
    <row r="20" customFormat="false" ht="15" hidden="false" customHeight="false" outlineLevel="0" collapsed="false">
      <c r="A20" s="8"/>
      <c r="B20" s="42"/>
      <c r="C20" s="43"/>
      <c r="D20" s="44"/>
      <c r="E20" s="44"/>
      <c r="F20" s="45"/>
      <c r="G20" s="46"/>
      <c r="H20" s="47"/>
      <c r="I20" s="9"/>
      <c r="J20" s="9"/>
      <c r="K20" s="43"/>
      <c r="L20" s="9"/>
      <c r="M20" s="9"/>
      <c r="N20" s="43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  <c r="AB20" s="48"/>
      <c r="AC20" s="48"/>
      <c r="AD20" s="48"/>
      <c r="AE20" s="48"/>
      <c r="AF20" s="48"/>
      <c r="AG20" s="48"/>
      <c r="AH20" s="48"/>
      <c r="AI20" s="48"/>
      <c r="AJ20" s="48"/>
    </row>
    <row r="21" customFormat="false" ht="15" hidden="false" customHeight="false" outlineLevel="0" collapsed="false">
      <c r="A21" s="8"/>
      <c r="B21" s="42"/>
      <c r="C21" s="43"/>
      <c r="D21" s="44"/>
      <c r="E21" s="44"/>
      <c r="F21" s="45"/>
      <c r="G21" s="46"/>
      <c r="H21" s="47"/>
      <c r="I21" s="9"/>
      <c r="J21" s="9"/>
      <c r="K21" s="43"/>
      <c r="L21" s="9"/>
      <c r="M21" s="9"/>
      <c r="N21" s="43"/>
      <c r="O21" s="48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8"/>
      <c r="AA21" s="48"/>
      <c r="AB21" s="48"/>
      <c r="AC21" s="48"/>
      <c r="AD21" s="48"/>
      <c r="AE21" s="48"/>
      <c r="AF21" s="48"/>
      <c r="AG21" s="48"/>
      <c r="AH21" s="48"/>
      <c r="AI21" s="48"/>
      <c r="AJ21" s="48"/>
    </row>
    <row r="22" customFormat="false" ht="15" hidden="false" customHeight="false" outlineLevel="0" collapsed="false">
      <c r="A22" s="8"/>
      <c r="B22" s="42"/>
      <c r="C22" s="43"/>
      <c r="D22" s="44"/>
      <c r="E22" s="44"/>
      <c r="F22" s="45"/>
      <c r="G22" s="46"/>
      <c r="H22" s="47"/>
      <c r="I22" s="9"/>
      <c r="J22" s="9"/>
      <c r="K22" s="43"/>
      <c r="L22" s="9"/>
      <c r="M22" s="9"/>
      <c r="N22" s="43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  <c r="AA22" s="48"/>
      <c r="AB22" s="48"/>
      <c r="AC22" s="48"/>
      <c r="AD22" s="48"/>
      <c r="AE22" s="48"/>
      <c r="AF22" s="48"/>
      <c r="AG22" s="48"/>
      <c r="AH22" s="48"/>
      <c r="AI22" s="48"/>
      <c r="AJ22" s="48"/>
    </row>
    <row r="23" customFormat="false" ht="15" hidden="false" customHeight="false" outlineLevel="0" collapsed="false">
      <c r="A23" s="8"/>
      <c r="B23" s="42"/>
      <c r="C23" s="43"/>
      <c r="D23" s="44"/>
      <c r="E23" s="44"/>
      <c r="F23" s="45"/>
      <c r="G23" s="46"/>
      <c r="H23" s="47"/>
      <c r="I23" s="9"/>
      <c r="J23" s="9"/>
      <c r="K23" s="43"/>
      <c r="L23" s="9"/>
      <c r="M23" s="9"/>
      <c r="N23" s="43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  <c r="AA23" s="48"/>
      <c r="AB23" s="48"/>
      <c r="AC23" s="48"/>
      <c r="AD23" s="48"/>
      <c r="AE23" s="48"/>
      <c r="AF23" s="48"/>
      <c r="AG23" s="48"/>
      <c r="AH23" s="48"/>
      <c r="AI23" s="48"/>
      <c r="AJ23" s="48"/>
    </row>
    <row r="24" customFormat="false" ht="15" hidden="false" customHeight="false" outlineLevel="0" collapsed="false">
      <c r="A24" s="8"/>
      <c r="B24" s="42"/>
      <c r="C24" s="43"/>
      <c r="D24" s="44"/>
      <c r="E24" s="44"/>
      <c r="F24" s="45"/>
      <c r="G24" s="46"/>
      <c r="H24" s="47"/>
      <c r="I24" s="9"/>
      <c r="J24" s="9"/>
      <c r="K24" s="43"/>
      <c r="L24" s="9"/>
      <c r="M24" s="9"/>
      <c r="N24" s="43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  <c r="Z24" s="48"/>
      <c r="AA24" s="48"/>
      <c r="AB24" s="48"/>
      <c r="AC24" s="48"/>
      <c r="AD24" s="48"/>
      <c r="AE24" s="48"/>
      <c r="AF24" s="48"/>
      <c r="AG24" s="48"/>
      <c r="AH24" s="48"/>
      <c r="AI24" s="48"/>
      <c r="AJ24" s="48"/>
    </row>
    <row r="25" customFormat="false" ht="15" hidden="false" customHeight="false" outlineLevel="0" collapsed="false">
      <c r="A25" s="8"/>
      <c r="B25" s="42"/>
      <c r="C25" s="43"/>
      <c r="D25" s="44"/>
      <c r="E25" s="44"/>
      <c r="F25" s="45"/>
      <c r="G25" s="46"/>
      <c r="H25" s="47"/>
      <c r="I25" s="9"/>
      <c r="J25" s="9"/>
      <c r="K25" s="43"/>
      <c r="L25" s="9"/>
      <c r="M25" s="9"/>
      <c r="N25" s="43"/>
      <c r="O25" s="48"/>
      <c r="P25" s="48"/>
      <c r="Q25" s="48"/>
      <c r="R25" s="48"/>
      <c r="S25" s="48"/>
      <c r="T25" s="48"/>
      <c r="U25" s="48"/>
      <c r="V25" s="48"/>
      <c r="W25" s="48"/>
      <c r="X25" s="48"/>
      <c r="Y25" s="48"/>
      <c r="Z25" s="48"/>
      <c r="AA25" s="48"/>
      <c r="AB25" s="48"/>
      <c r="AC25" s="48"/>
      <c r="AD25" s="48"/>
      <c r="AE25" s="48"/>
      <c r="AF25" s="48"/>
      <c r="AG25" s="48"/>
      <c r="AH25" s="48"/>
      <c r="AI25" s="48"/>
      <c r="AJ25" s="48"/>
    </row>
    <row r="26" customFormat="false" ht="15" hidden="false" customHeight="false" outlineLevel="0" collapsed="false">
      <c r="A26" s="8"/>
      <c r="B26" s="42"/>
      <c r="C26" s="43"/>
      <c r="D26" s="44"/>
      <c r="E26" s="44"/>
      <c r="F26" s="45"/>
      <c r="G26" s="46"/>
      <c r="H26" s="47"/>
      <c r="I26" s="9"/>
      <c r="J26" s="9"/>
      <c r="K26" s="43"/>
      <c r="L26" s="9"/>
      <c r="M26" s="9"/>
      <c r="N26" s="43"/>
      <c r="O26" s="48"/>
      <c r="P26" s="48"/>
      <c r="Q26" s="48"/>
      <c r="R26" s="48"/>
      <c r="S26" s="48"/>
      <c r="T26" s="48"/>
      <c r="U26" s="48"/>
      <c r="V26" s="48"/>
      <c r="W26" s="48"/>
      <c r="X26" s="48"/>
      <c r="Y26" s="48"/>
      <c r="Z26" s="48"/>
      <c r="AA26" s="48"/>
      <c r="AB26" s="48"/>
      <c r="AC26" s="48"/>
      <c r="AD26" s="48"/>
      <c r="AE26" s="48"/>
      <c r="AF26" s="48"/>
      <c r="AG26" s="48"/>
      <c r="AH26" s="48"/>
      <c r="AI26" s="48"/>
      <c r="AJ26" s="48"/>
    </row>
    <row r="27" customFormat="false" ht="15" hidden="false" customHeight="false" outlineLevel="0" collapsed="false">
      <c r="A27" s="8"/>
      <c r="B27" s="42"/>
      <c r="C27" s="43"/>
      <c r="D27" s="44"/>
      <c r="E27" s="44"/>
      <c r="F27" s="45"/>
      <c r="G27" s="46"/>
      <c r="H27" s="47"/>
      <c r="I27" s="9"/>
      <c r="J27" s="9"/>
      <c r="K27" s="43"/>
      <c r="L27" s="9"/>
      <c r="M27" s="9"/>
      <c r="N27" s="43"/>
      <c r="O27" s="48"/>
      <c r="P27" s="48"/>
      <c r="Q27" s="48"/>
      <c r="R27" s="48"/>
      <c r="S27" s="48"/>
      <c r="T27" s="48"/>
      <c r="U27" s="48"/>
      <c r="V27" s="48"/>
      <c r="W27" s="48"/>
      <c r="X27" s="48"/>
      <c r="Y27" s="48"/>
      <c r="Z27" s="48"/>
      <c r="AA27" s="48"/>
      <c r="AB27" s="48"/>
      <c r="AC27" s="48"/>
      <c r="AD27" s="48"/>
      <c r="AE27" s="48"/>
      <c r="AF27" s="48"/>
      <c r="AG27" s="48"/>
      <c r="AH27" s="48"/>
      <c r="AI27" s="48"/>
      <c r="AJ27" s="48"/>
    </row>
    <row r="28" customFormat="false" ht="15" hidden="false" customHeight="false" outlineLevel="0" collapsed="false">
      <c r="A28" s="8"/>
      <c r="B28" s="42"/>
      <c r="C28" s="43"/>
      <c r="D28" s="44"/>
      <c r="E28" s="44"/>
      <c r="F28" s="45"/>
      <c r="G28" s="46"/>
      <c r="H28" s="47"/>
      <c r="I28" s="9"/>
      <c r="J28" s="9"/>
      <c r="K28" s="43"/>
      <c r="L28" s="9"/>
      <c r="M28" s="9"/>
      <c r="N28" s="43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</row>
    <row r="29" customFormat="false" ht="15" hidden="false" customHeight="false" outlineLevel="0" collapsed="false">
      <c r="A29" s="8"/>
      <c r="B29" s="42"/>
      <c r="C29" s="43"/>
      <c r="D29" s="44"/>
      <c r="E29" s="44"/>
      <c r="F29" s="45"/>
      <c r="G29" s="46"/>
      <c r="H29" s="47"/>
      <c r="I29" s="9"/>
      <c r="J29" s="9"/>
      <c r="K29" s="43"/>
      <c r="L29" s="9"/>
      <c r="M29" s="9"/>
      <c r="N29" s="43"/>
      <c r="O29" s="48"/>
      <c r="P29" s="48"/>
      <c r="Q29" s="48"/>
      <c r="R29" s="48"/>
      <c r="S29" s="48"/>
      <c r="T29" s="48"/>
      <c r="U29" s="48"/>
      <c r="V29" s="48"/>
      <c r="W29" s="48"/>
      <c r="X29" s="48"/>
      <c r="Y29" s="48"/>
      <c r="Z29" s="48"/>
      <c r="AA29" s="48"/>
      <c r="AB29" s="48"/>
      <c r="AC29" s="48"/>
      <c r="AD29" s="48"/>
      <c r="AE29" s="48"/>
      <c r="AF29" s="48"/>
      <c r="AG29" s="48"/>
      <c r="AH29" s="48"/>
      <c r="AI29" s="48"/>
      <c r="AJ29" s="48"/>
    </row>
    <row r="30" customFormat="false" ht="15" hidden="false" customHeight="false" outlineLevel="0" collapsed="false">
      <c r="A30" s="8"/>
      <c r="B30" s="42"/>
      <c r="C30" s="43"/>
      <c r="D30" s="44"/>
      <c r="E30" s="44"/>
      <c r="F30" s="45"/>
      <c r="G30" s="46"/>
      <c r="H30" s="47"/>
      <c r="I30" s="9"/>
      <c r="J30" s="9"/>
      <c r="K30" s="43"/>
      <c r="L30" s="9"/>
      <c r="M30" s="9"/>
      <c r="N30" s="43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B30" s="48"/>
      <c r="AC30" s="48"/>
      <c r="AD30" s="48"/>
      <c r="AE30" s="48"/>
      <c r="AF30" s="48"/>
      <c r="AG30" s="48"/>
      <c r="AH30" s="48"/>
      <c r="AI30" s="48"/>
      <c r="AJ30" s="48"/>
    </row>
    <row r="31" customFormat="false" ht="15" hidden="false" customHeight="false" outlineLevel="0" collapsed="false">
      <c r="A31" s="8"/>
      <c r="B31" s="42"/>
      <c r="C31" s="43"/>
      <c r="D31" s="44"/>
      <c r="E31" s="44"/>
      <c r="F31" s="45"/>
      <c r="G31" s="46"/>
      <c r="H31" s="47"/>
      <c r="I31" s="9"/>
      <c r="J31" s="9"/>
      <c r="K31" s="43"/>
      <c r="L31" s="9"/>
      <c r="M31" s="9"/>
      <c r="N31" s="43"/>
      <c r="O31" s="48"/>
      <c r="P31" s="48"/>
      <c r="Q31" s="48"/>
      <c r="R31" s="48"/>
      <c r="S31" s="48"/>
      <c r="T31" s="48"/>
      <c r="U31" s="48"/>
      <c r="V31" s="48"/>
      <c r="W31" s="48"/>
      <c r="X31" s="48"/>
      <c r="Y31" s="48"/>
      <c r="Z31" s="48"/>
      <c r="AA31" s="48"/>
      <c r="AB31" s="48"/>
      <c r="AC31" s="48"/>
      <c r="AD31" s="48"/>
      <c r="AE31" s="48"/>
      <c r="AF31" s="48"/>
      <c r="AG31" s="48"/>
      <c r="AH31" s="48"/>
      <c r="AI31" s="48"/>
      <c r="AJ31" s="48"/>
    </row>
    <row r="32" customFormat="false" ht="15" hidden="false" customHeight="false" outlineLevel="0" collapsed="false">
      <c r="A32" s="8"/>
      <c r="B32" s="42"/>
      <c r="C32" s="43"/>
      <c r="D32" s="44"/>
      <c r="E32" s="44"/>
      <c r="F32" s="45"/>
      <c r="G32" s="46"/>
      <c r="H32" s="47"/>
      <c r="I32" s="9"/>
      <c r="J32" s="9"/>
      <c r="K32" s="43"/>
      <c r="L32" s="9"/>
      <c r="M32" s="9"/>
      <c r="N32" s="43"/>
      <c r="O32" s="48"/>
      <c r="P32" s="48"/>
      <c r="Q32" s="48"/>
      <c r="R32" s="48"/>
      <c r="S32" s="48"/>
      <c r="T32" s="48"/>
      <c r="U32" s="48"/>
      <c r="V32" s="48"/>
      <c r="W32" s="48"/>
      <c r="X32" s="48"/>
      <c r="Y32" s="48"/>
      <c r="Z32" s="48"/>
      <c r="AA32" s="48"/>
      <c r="AB32" s="48"/>
      <c r="AC32" s="48"/>
      <c r="AD32" s="48"/>
      <c r="AE32" s="48"/>
      <c r="AF32" s="48"/>
      <c r="AG32" s="48"/>
      <c r="AH32" s="48"/>
      <c r="AI32" s="48"/>
      <c r="AJ32" s="48"/>
    </row>
    <row r="33" customFormat="false" ht="15" hidden="false" customHeight="false" outlineLevel="0" collapsed="false">
      <c r="A33" s="8"/>
      <c r="B33" s="42"/>
      <c r="C33" s="43"/>
      <c r="D33" s="44"/>
      <c r="E33" s="44"/>
      <c r="F33" s="45"/>
      <c r="G33" s="46"/>
      <c r="H33" s="47"/>
      <c r="I33" s="9"/>
      <c r="J33" s="9"/>
      <c r="K33" s="43"/>
      <c r="L33" s="9"/>
      <c r="M33" s="9"/>
      <c r="N33" s="43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48"/>
      <c r="Z33" s="48"/>
      <c r="AA33" s="48"/>
      <c r="AB33" s="48"/>
      <c r="AC33" s="48"/>
      <c r="AD33" s="48"/>
      <c r="AE33" s="48"/>
      <c r="AF33" s="48"/>
      <c r="AG33" s="48"/>
      <c r="AH33" s="48"/>
      <c r="AI33" s="48"/>
      <c r="AJ33" s="48"/>
    </row>
    <row r="34" customFormat="false" ht="15" hidden="false" customHeight="false" outlineLevel="0" collapsed="false">
      <c r="A34" s="8"/>
      <c r="B34" s="42"/>
      <c r="C34" s="43"/>
      <c r="D34" s="44"/>
      <c r="E34" s="44"/>
      <c r="F34" s="45"/>
      <c r="G34" s="46"/>
      <c r="H34" s="47"/>
      <c r="I34" s="9"/>
      <c r="J34" s="9"/>
      <c r="K34" s="43"/>
      <c r="L34" s="9"/>
      <c r="M34" s="9"/>
      <c r="N34" s="43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  <c r="AA34" s="48"/>
      <c r="AB34" s="48"/>
      <c r="AC34" s="48"/>
      <c r="AD34" s="48"/>
      <c r="AE34" s="48"/>
      <c r="AF34" s="48"/>
      <c r="AG34" s="48"/>
      <c r="AH34" s="48"/>
      <c r="AI34" s="48"/>
      <c r="AJ34" s="48"/>
    </row>
    <row r="35" customFormat="false" ht="15" hidden="false" customHeight="false" outlineLevel="0" collapsed="false">
      <c r="A35" s="8"/>
      <c r="B35" s="42"/>
      <c r="C35" s="43"/>
      <c r="D35" s="44"/>
      <c r="E35" s="44"/>
      <c r="F35" s="45"/>
      <c r="G35" s="46"/>
      <c r="H35" s="47"/>
      <c r="I35" s="9"/>
      <c r="J35" s="9"/>
      <c r="K35" s="43"/>
      <c r="L35" s="9"/>
      <c r="M35" s="9"/>
      <c r="N35" s="43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48"/>
      <c r="Z35" s="48"/>
      <c r="AA35" s="48"/>
      <c r="AB35" s="48"/>
      <c r="AC35" s="48"/>
      <c r="AD35" s="48"/>
      <c r="AE35" s="48"/>
      <c r="AF35" s="48"/>
      <c r="AG35" s="48"/>
      <c r="AH35" s="48"/>
      <c r="AI35" s="48"/>
      <c r="AJ35" s="48"/>
    </row>
    <row r="36" customFormat="false" ht="15" hidden="false" customHeight="false" outlineLevel="0" collapsed="false">
      <c r="A36" s="8"/>
      <c r="B36" s="42"/>
      <c r="C36" s="43"/>
      <c r="D36" s="44"/>
      <c r="E36" s="44"/>
      <c r="F36" s="45"/>
      <c r="G36" s="46"/>
      <c r="H36" s="47"/>
      <c r="I36" s="9"/>
      <c r="J36" s="9"/>
      <c r="K36" s="43"/>
      <c r="L36" s="9"/>
      <c r="M36" s="9"/>
      <c r="N36" s="43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48"/>
      <c r="Z36" s="48"/>
      <c r="AA36" s="48"/>
      <c r="AB36" s="48"/>
      <c r="AC36" s="48"/>
      <c r="AD36" s="48"/>
      <c r="AE36" s="48"/>
      <c r="AF36" s="48"/>
      <c r="AG36" s="48"/>
      <c r="AH36" s="48"/>
      <c r="AI36" s="48"/>
      <c r="AJ36" s="48"/>
    </row>
    <row r="37" customFormat="false" ht="15" hidden="false" customHeight="false" outlineLevel="0" collapsed="false">
      <c r="A37" s="8"/>
      <c r="B37" s="42"/>
      <c r="C37" s="43"/>
      <c r="D37" s="44"/>
      <c r="E37" s="44"/>
      <c r="F37" s="45"/>
      <c r="G37" s="46"/>
      <c r="H37" s="47"/>
      <c r="I37" s="9"/>
      <c r="J37" s="9"/>
      <c r="K37" s="43"/>
      <c r="L37" s="9"/>
      <c r="M37" s="9"/>
      <c r="N37" s="43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48"/>
      <c r="Z37" s="48"/>
      <c r="AA37" s="48"/>
      <c r="AB37" s="48"/>
      <c r="AC37" s="48"/>
      <c r="AD37" s="48"/>
      <c r="AE37" s="48"/>
      <c r="AF37" s="48"/>
      <c r="AG37" s="48"/>
      <c r="AH37" s="48"/>
      <c r="AI37" s="48"/>
      <c r="AJ37" s="48"/>
    </row>
    <row r="38" customFormat="false" ht="15" hidden="false" customHeight="false" outlineLevel="0" collapsed="false">
      <c r="A38" s="8"/>
      <c r="B38" s="42"/>
      <c r="C38" s="43"/>
      <c r="D38" s="44"/>
      <c r="E38" s="44"/>
      <c r="F38" s="45"/>
      <c r="G38" s="46"/>
      <c r="H38" s="47"/>
      <c r="I38" s="9"/>
      <c r="J38" s="9"/>
      <c r="K38" s="43"/>
      <c r="L38" s="9"/>
      <c r="M38" s="9"/>
      <c r="N38" s="43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48"/>
      <c r="AA38" s="48"/>
      <c r="AB38" s="48"/>
      <c r="AC38" s="48"/>
      <c r="AD38" s="48"/>
      <c r="AE38" s="48"/>
      <c r="AF38" s="48"/>
      <c r="AG38" s="48"/>
      <c r="AH38" s="48"/>
      <c r="AI38" s="48"/>
      <c r="AJ38" s="48"/>
    </row>
    <row r="39" customFormat="false" ht="15" hidden="false" customHeight="false" outlineLevel="0" collapsed="false">
      <c r="A39" s="8"/>
      <c r="B39" s="42"/>
      <c r="C39" s="43"/>
      <c r="D39" s="44"/>
      <c r="E39" s="44"/>
      <c r="F39" s="45"/>
      <c r="G39" s="46"/>
      <c r="H39" s="47"/>
      <c r="I39" s="9"/>
      <c r="J39" s="9"/>
      <c r="K39" s="43"/>
      <c r="L39" s="9"/>
      <c r="M39" s="9"/>
      <c r="N39" s="43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48"/>
      <c r="Z39" s="48"/>
      <c r="AA39" s="48"/>
      <c r="AB39" s="48"/>
      <c r="AC39" s="48"/>
      <c r="AD39" s="48"/>
      <c r="AE39" s="48"/>
      <c r="AF39" s="48"/>
      <c r="AG39" s="48"/>
      <c r="AH39" s="48"/>
      <c r="AI39" s="48"/>
      <c r="AJ39" s="48"/>
    </row>
    <row r="40" customFormat="false" ht="15" hidden="false" customHeight="false" outlineLevel="0" collapsed="false">
      <c r="A40" s="8"/>
      <c r="B40" s="42"/>
      <c r="C40" s="43"/>
      <c r="D40" s="44"/>
      <c r="E40" s="44"/>
      <c r="F40" s="45"/>
      <c r="G40" s="46"/>
      <c r="H40" s="47"/>
      <c r="I40" s="9"/>
      <c r="J40" s="9"/>
      <c r="K40" s="43"/>
      <c r="L40" s="9"/>
      <c r="M40" s="9"/>
      <c r="N40" s="43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48"/>
      <c r="Z40" s="48"/>
      <c r="AA40" s="48"/>
      <c r="AB40" s="48"/>
      <c r="AC40" s="48"/>
      <c r="AD40" s="48"/>
      <c r="AE40" s="48"/>
      <c r="AF40" s="48"/>
      <c r="AG40" s="48"/>
      <c r="AH40" s="48"/>
      <c r="AI40" s="48"/>
      <c r="AJ40" s="48"/>
    </row>
    <row r="41" customFormat="false" ht="15" hidden="false" customHeight="false" outlineLevel="0" collapsed="false">
      <c r="A41" s="8"/>
      <c r="B41" s="42"/>
      <c r="C41" s="43"/>
      <c r="D41" s="44"/>
      <c r="E41" s="44"/>
      <c r="F41" s="45"/>
      <c r="G41" s="46"/>
      <c r="H41" s="47"/>
      <c r="I41" s="9"/>
      <c r="J41" s="9"/>
      <c r="K41" s="43"/>
      <c r="L41" s="9"/>
      <c r="M41" s="9"/>
      <c r="N41" s="43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48"/>
      <c r="Z41" s="48"/>
      <c r="AA41" s="48"/>
      <c r="AB41" s="48"/>
      <c r="AC41" s="48"/>
      <c r="AD41" s="48"/>
      <c r="AE41" s="48"/>
      <c r="AF41" s="48"/>
      <c r="AG41" s="48"/>
      <c r="AH41" s="48"/>
      <c r="AI41" s="48"/>
      <c r="AJ41" s="48"/>
    </row>
    <row r="42" customFormat="false" ht="15" hidden="false" customHeight="false" outlineLevel="0" collapsed="false">
      <c r="A42" s="8"/>
      <c r="B42" s="42"/>
      <c r="C42" s="43"/>
      <c r="D42" s="44"/>
      <c r="E42" s="44"/>
      <c r="F42" s="45"/>
      <c r="G42" s="46"/>
      <c r="H42" s="47"/>
      <c r="I42" s="9"/>
      <c r="J42" s="9"/>
      <c r="K42" s="43"/>
      <c r="L42" s="9"/>
      <c r="M42" s="9"/>
      <c r="N42" s="43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48"/>
      <c r="Z42" s="48"/>
      <c r="AA42" s="48"/>
      <c r="AB42" s="48"/>
      <c r="AC42" s="48"/>
      <c r="AD42" s="48"/>
      <c r="AE42" s="48"/>
      <c r="AF42" s="48"/>
      <c r="AG42" s="48"/>
      <c r="AH42" s="48"/>
      <c r="AI42" s="48"/>
      <c r="AJ42" s="48"/>
    </row>
    <row r="43" customFormat="false" ht="15" hidden="false" customHeight="false" outlineLevel="0" collapsed="false">
      <c r="A43" s="8"/>
      <c r="B43" s="42"/>
      <c r="C43" s="43"/>
      <c r="D43" s="44"/>
      <c r="E43" s="44"/>
      <c r="F43" s="45"/>
      <c r="G43" s="46"/>
      <c r="H43" s="47"/>
      <c r="I43" s="9"/>
      <c r="J43" s="9"/>
      <c r="K43" s="43"/>
      <c r="L43" s="9"/>
      <c r="M43" s="9"/>
      <c r="N43" s="43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48"/>
      <c r="Z43" s="48"/>
      <c r="AA43" s="48"/>
      <c r="AB43" s="48"/>
      <c r="AC43" s="48"/>
      <c r="AD43" s="48"/>
      <c r="AE43" s="48"/>
      <c r="AF43" s="48"/>
      <c r="AG43" s="48"/>
      <c r="AH43" s="48"/>
      <c r="AI43" s="48"/>
      <c r="AJ43" s="48"/>
    </row>
    <row r="44" customFormat="false" ht="15" hidden="false" customHeight="false" outlineLevel="0" collapsed="false">
      <c r="A44" s="8"/>
      <c r="B44" s="42"/>
      <c r="C44" s="43"/>
      <c r="D44" s="44"/>
      <c r="E44" s="44"/>
      <c r="F44" s="45"/>
      <c r="G44" s="46"/>
      <c r="H44" s="47"/>
      <c r="I44" s="9"/>
      <c r="J44" s="9"/>
      <c r="K44" s="43"/>
      <c r="L44" s="9"/>
      <c r="M44" s="9"/>
      <c r="N44" s="43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48"/>
      <c r="AA44" s="48"/>
      <c r="AB44" s="48"/>
      <c r="AC44" s="48"/>
      <c r="AD44" s="48"/>
      <c r="AE44" s="48"/>
      <c r="AF44" s="48"/>
      <c r="AG44" s="48"/>
      <c r="AH44" s="48"/>
      <c r="AI44" s="48"/>
      <c r="AJ44" s="48"/>
    </row>
    <row r="45" customFormat="false" ht="15" hidden="false" customHeight="false" outlineLevel="0" collapsed="false">
      <c r="A45" s="8"/>
      <c r="B45" s="42"/>
      <c r="C45" s="43"/>
      <c r="D45" s="44"/>
      <c r="E45" s="44"/>
      <c r="F45" s="45"/>
      <c r="G45" s="46"/>
      <c r="H45" s="47"/>
      <c r="I45" s="9"/>
      <c r="J45" s="9"/>
      <c r="K45" s="43"/>
      <c r="L45" s="9"/>
      <c r="M45" s="9"/>
      <c r="N45" s="43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48"/>
      <c r="Z45" s="48"/>
      <c r="AA45" s="48"/>
      <c r="AB45" s="48"/>
      <c r="AC45" s="48"/>
      <c r="AD45" s="48"/>
      <c r="AE45" s="48"/>
      <c r="AF45" s="48"/>
      <c r="AG45" s="48"/>
      <c r="AH45" s="48"/>
      <c r="AI45" s="48"/>
      <c r="AJ45" s="48"/>
    </row>
    <row r="46" customFormat="false" ht="15" hidden="false" customHeight="false" outlineLevel="0" collapsed="false">
      <c r="A46" s="8"/>
      <c r="B46" s="42"/>
      <c r="C46" s="43"/>
      <c r="D46" s="44"/>
      <c r="E46" s="44"/>
      <c r="F46" s="45"/>
      <c r="G46" s="46"/>
      <c r="H46" s="47"/>
      <c r="I46" s="9"/>
      <c r="J46" s="9"/>
      <c r="K46" s="43"/>
      <c r="L46" s="9"/>
      <c r="M46" s="9"/>
      <c r="N46" s="43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48"/>
      <c r="Z46" s="48"/>
      <c r="AA46" s="48"/>
      <c r="AB46" s="48"/>
      <c r="AC46" s="48"/>
      <c r="AD46" s="48"/>
      <c r="AE46" s="48"/>
      <c r="AF46" s="48"/>
      <c r="AG46" s="48"/>
      <c r="AH46" s="48"/>
      <c r="AI46" s="48"/>
      <c r="AJ46" s="48"/>
    </row>
    <row r="47" customFormat="false" ht="15" hidden="false" customHeight="false" outlineLevel="0" collapsed="false">
      <c r="A47" s="8"/>
      <c r="B47" s="42"/>
      <c r="C47" s="43"/>
      <c r="D47" s="44"/>
      <c r="E47" s="44"/>
      <c r="F47" s="45"/>
      <c r="G47" s="46"/>
      <c r="H47" s="47"/>
      <c r="I47" s="9"/>
      <c r="J47" s="9"/>
      <c r="K47" s="43"/>
      <c r="L47" s="9"/>
      <c r="M47" s="9"/>
      <c r="N47" s="43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48"/>
      <c r="Z47" s="48"/>
      <c r="AA47" s="48"/>
      <c r="AB47" s="48"/>
      <c r="AC47" s="48"/>
      <c r="AD47" s="48"/>
      <c r="AE47" s="48"/>
      <c r="AF47" s="48"/>
      <c r="AG47" s="48"/>
      <c r="AH47" s="48"/>
      <c r="AI47" s="48"/>
      <c r="AJ47" s="48"/>
    </row>
    <row r="48" customFormat="false" ht="15" hidden="false" customHeight="false" outlineLevel="0" collapsed="false">
      <c r="A48" s="8"/>
      <c r="B48" s="42"/>
      <c r="C48" s="43"/>
      <c r="D48" s="44"/>
      <c r="E48" s="44"/>
      <c r="F48" s="45"/>
      <c r="G48" s="46"/>
      <c r="H48" s="47"/>
      <c r="I48" s="9"/>
      <c r="J48" s="9"/>
      <c r="K48" s="43"/>
      <c r="L48" s="9"/>
      <c r="M48" s="9"/>
      <c r="N48" s="43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48"/>
      <c r="AA48" s="48"/>
      <c r="AB48" s="48"/>
      <c r="AC48" s="48"/>
      <c r="AD48" s="48"/>
      <c r="AE48" s="48"/>
      <c r="AF48" s="48"/>
      <c r="AG48" s="48"/>
      <c r="AH48" s="48"/>
      <c r="AI48" s="48"/>
      <c r="AJ48" s="48"/>
    </row>
    <row r="49" customFormat="false" ht="15" hidden="false" customHeight="false" outlineLevel="0" collapsed="false">
      <c r="A49" s="8"/>
      <c r="B49" s="42"/>
      <c r="C49" s="43"/>
      <c r="D49" s="44"/>
      <c r="E49" s="44"/>
      <c r="F49" s="45"/>
      <c r="G49" s="46"/>
      <c r="H49" s="47"/>
      <c r="I49" s="9"/>
      <c r="J49" s="9"/>
      <c r="K49" s="43"/>
      <c r="L49" s="9"/>
      <c r="M49" s="9"/>
      <c r="N49" s="43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48"/>
      <c r="Z49" s="48"/>
      <c r="AA49" s="48"/>
      <c r="AB49" s="48"/>
      <c r="AC49" s="48"/>
      <c r="AD49" s="48"/>
      <c r="AE49" s="48"/>
      <c r="AF49" s="48"/>
      <c r="AG49" s="48"/>
      <c r="AH49" s="48"/>
      <c r="AI49" s="48"/>
      <c r="AJ49" s="48"/>
    </row>
    <row r="50" customFormat="false" ht="15" hidden="false" customHeight="false" outlineLevel="0" collapsed="false">
      <c r="A50" s="8"/>
      <c r="B50" s="42"/>
      <c r="C50" s="43"/>
      <c r="D50" s="44"/>
      <c r="E50" s="44"/>
      <c r="F50" s="45"/>
      <c r="G50" s="46"/>
      <c r="H50" s="47"/>
      <c r="I50" s="9"/>
      <c r="J50" s="9"/>
      <c r="K50" s="43"/>
      <c r="L50" s="9"/>
      <c r="M50" s="9"/>
      <c r="N50" s="43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48"/>
      <c r="Z50" s="48"/>
      <c r="AA50" s="48"/>
      <c r="AB50" s="48"/>
      <c r="AC50" s="48"/>
      <c r="AD50" s="48"/>
      <c r="AE50" s="48"/>
      <c r="AF50" s="48"/>
      <c r="AG50" s="48"/>
      <c r="AH50" s="48"/>
      <c r="AI50" s="48"/>
      <c r="AJ50" s="48"/>
    </row>
    <row r="51" customFormat="false" ht="15" hidden="false" customHeight="false" outlineLevel="0" collapsed="false">
      <c r="A51" s="8"/>
      <c r="B51" s="42"/>
      <c r="C51" s="43"/>
      <c r="D51" s="44"/>
      <c r="E51" s="44"/>
      <c r="F51" s="45"/>
      <c r="G51" s="46"/>
      <c r="H51" s="47"/>
      <c r="I51" s="9"/>
      <c r="J51" s="9"/>
      <c r="K51" s="43"/>
      <c r="L51" s="9"/>
      <c r="M51" s="9"/>
      <c r="N51" s="43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</row>
    <row r="52" customFormat="false" ht="15" hidden="false" customHeight="false" outlineLevel="0" collapsed="false">
      <c r="A52" s="8"/>
      <c r="B52" s="42"/>
      <c r="C52" s="43"/>
      <c r="D52" s="44"/>
      <c r="E52" s="44"/>
      <c r="F52" s="45"/>
      <c r="G52" s="46"/>
      <c r="H52" s="47"/>
      <c r="I52" s="9"/>
      <c r="J52" s="9"/>
      <c r="K52" s="43"/>
      <c r="L52" s="9"/>
      <c r="M52" s="9"/>
      <c r="N52" s="43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48"/>
      <c r="Z52" s="48"/>
      <c r="AA52" s="48"/>
      <c r="AB52" s="48"/>
      <c r="AC52" s="48"/>
      <c r="AD52" s="48"/>
      <c r="AE52" s="48"/>
      <c r="AF52" s="48"/>
      <c r="AG52" s="48"/>
      <c r="AH52" s="48"/>
      <c r="AI52" s="48"/>
      <c r="AJ52" s="48"/>
    </row>
    <row r="53" customFormat="false" ht="15" hidden="false" customHeight="false" outlineLevel="0" collapsed="false">
      <c r="A53" s="8"/>
      <c r="B53" s="42"/>
      <c r="C53" s="43"/>
      <c r="D53" s="44"/>
      <c r="E53" s="44"/>
      <c r="F53" s="45"/>
      <c r="G53" s="46"/>
      <c r="H53" s="47"/>
      <c r="I53" s="9"/>
      <c r="J53" s="9"/>
      <c r="K53" s="43"/>
      <c r="L53" s="9"/>
      <c r="M53" s="9"/>
      <c r="N53" s="43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48"/>
      <c r="Z53" s="48"/>
      <c r="AA53" s="48"/>
      <c r="AB53" s="48"/>
      <c r="AC53" s="48"/>
      <c r="AD53" s="48"/>
      <c r="AE53" s="48"/>
      <c r="AF53" s="48"/>
      <c r="AG53" s="48"/>
      <c r="AH53" s="48"/>
      <c r="AI53" s="48"/>
      <c r="AJ53" s="48"/>
    </row>
    <row r="54" customFormat="false" ht="15" hidden="false" customHeight="false" outlineLevel="0" collapsed="false">
      <c r="A54" s="8"/>
      <c r="B54" s="42"/>
      <c r="C54" s="43"/>
      <c r="D54" s="44"/>
      <c r="E54" s="44"/>
      <c r="F54" s="45"/>
      <c r="G54" s="46"/>
      <c r="H54" s="47"/>
      <c r="I54" s="9"/>
      <c r="J54" s="9"/>
      <c r="K54" s="43"/>
      <c r="L54" s="9"/>
      <c r="M54" s="9"/>
      <c r="N54" s="43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48"/>
      <c r="Z54" s="48"/>
      <c r="AA54" s="48"/>
      <c r="AB54" s="48"/>
      <c r="AC54" s="48"/>
      <c r="AD54" s="48"/>
      <c r="AE54" s="48"/>
      <c r="AF54" s="48"/>
      <c r="AG54" s="48"/>
      <c r="AH54" s="48"/>
      <c r="AI54" s="48"/>
      <c r="AJ54" s="48"/>
    </row>
    <row r="55" customFormat="false" ht="15" hidden="false" customHeight="false" outlineLevel="0" collapsed="false">
      <c r="A55" s="8"/>
      <c r="B55" s="42"/>
      <c r="C55" s="43"/>
      <c r="D55" s="44"/>
      <c r="E55" s="44"/>
      <c r="F55" s="45"/>
      <c r="G55" s="46"/>
      <c r="H55" s="47"/>
      <c r="I55" s="9"/>
      <c r="J55" s="9"/>
      <c r="K55" s="43"/>
      <c r="L55" s="9"/>
      <c r="M55" s="9"/>
      <c r="N55" s="43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48"/>
      <c r="Z55" s="48"/>
      <c r="AA55" s="48"/>
      <c r="AB55" s="48"/>
      <c r="AC55" s="48"/>
      <c r="AD55" s="48"/>
      <c r="AE55" s="48"/>
      <c r="AF55" s="48"/>
      <c r="AG55" s="48"/>
      <c r="AH55" s="48"/>
      <c r="AI55" s="48"/>
      <c r="AJ55" s="48"/>
    </row>
    <row r="56" customFormat="false" ht="15" hidden="false" customHeight="false" outlineLevel="0" collapsed="false">
      <c r="A56" s="8"/>
      <c r="B56" s="42"/>
      <c r="C56" s="43"/>
      <c r="D56" s="44"/>
      <c r="E56" s="44"/>
      <c r="F56" s="45"/>
      <c r="G56" s="46"/>
      <c r="H56" s="47"/>
      <c r="I56" s="9"/>
      <c r="J56" s="9"/>
      <c r="K56" s="43"/>
      <c r="L56" s="9"/>
      <c r="M56" s="9"/>
      <c r="N56" s="43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48"/>
      <c r="Z56" s="48"/>
      <c r="AA56" s="48"/>
      <c r="AB56" s="48"/>
      <c r="AC56" s="48"/>
      <c r="AD56" s="48"/>
      <c r="AE56" s="48"/>
      <c r="AF56" s="48"/>
      <c r="AG56" s="48"/>
      <c r="AH56" s="48"/>
      <c r="AI56" s="48"/>
      <c r="AJ56" s="48"/>
    </row>
    <row r="57" customFormat="false" ht="15" hidden="false" customHeight="false" outlineLevel="0" collapsed="false">
      <c r="A57" s="8"/>
      <c r="B57" s="42"/>
      <c r="C57" s="43"/>
      <c r="D57" s="44"/>
      <c r="E57" s="44"/>
      <c r="F57" s="45"/>
      <c r="G57" s="46"/>
      <c r="H57" s="47"/>
      <c r="I57" s="9"/>
      <c r="J57" s="9"/>
      <c r="K57" s="43"/>
      <c r="L57" s="9"/>
      <c r="M57" s="9"/>
      <c r="N57" s="43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48"/>
      <c r="Z57" s="48"/>
      <c r="AA57" s="48"/>
      <c r="AB57" s="48"/>
      <c r="AC57" s="48"/>
      <c r="AD57" s="48"/>
      <c r="AE57" s="48"/>
      <c r="AF57" s="48"/>
      <c r="AG57" s="48"/>
      <c r="AH57" s="48"/>
      <c r="AI57" s="48"/>
      <c r="AJ57" s="48"/>
    </row>
    <row r="58" customFormat="false" ht="15" hidden="false" customHeight="false" outlineLevel="0" collapsed="false">
      <c r="A58" s="8"/>
      <c r="B58" s="42"/>
      <c r="C58" s="43"/>
      <c r="D58" s="44"/>
      <c r="E58" s="44"/>
      <c r="F58" s="45"/>
      <c r="G58" s="46"/>
      <c r="H58" s="47"/>
      <c r="I58" s="9"/>
      <c r="J58" s="9"/>
      <c r="K58" s="43"/>
      <c r="L58" s="9"/>
      <c r="M58" s="9"/>
      <c r="N58" s="43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48"/>
      <c r="Z58" s="48"/>
      <c r="AA58" s="48"/>
      <c r="AB58" s="48"/>
      <c r="AC58" s="48"/>
      <c r="AD58" s="48"/>
      <c r="AE58" s="48"/>
      <c r="AF58" s="48"/>
      <c r="AG58" s="48"/>
      <c r="AH58" s="48"/>
      <c r="AI58" s="48"/>
      <c r="AJ58" s="48"/>
    </row>
    <row r="59" customFormat="false" ht="15" hidden="false" customHeight="false" outlineLevel="0" collapsed="false">
      <c r="A59" s="8"/>
      <c r="B59" s="42"/>
      <c r="C59" s="43"/>
      <c r="D59" s="44"/>
      <c r="E59" s="44"/>
      <c r="F59" s="45"/>
      <c r="G59" s="46"/>
      <c r="H59" s="47"/>
      <c r="I59" s="9"/>
      <c r="J59" s="9"/>
      <c r="K59" s="43"/>
      <c r="L59" s="9"/>
      <c r="M59" s="9"/>
      <c r="N59" s="43"/>
      <c r="O59" s="48"/>
      <c r="P59" s="48"/>
      <c r="Q59" s="48"/>
      <c r="R59" s="48"/>
      <c r="S59" s="48"/>
      <c r="T59" s="48"/>
      <c r="U59" s="48"/>
      <c r="V59" s="48"/>
      <c r="W59" s="48"/>
      <c r="X59" s="48"/>
      <c r="Y59" s="48"/>
      <c r="Z59" s="48"/>
      <c r="AA59" s="48"/>
      <c r="AB59" s="48"/>
      <c r="AC59" s="48"/>
      <c r="AD59" s="48"/>
      <c r="AE59" s="48"/>
      <c r="AF59" s="48"/>
      <c r="AG59" s="48"/>
      <c r="AH59" s="48"/>
      <c r="AI59" s="48"/>
      <c r="AJ59" s="48"/>
    </row>
    <row r="60" customFormat="false" ht="15" hidden="false" customHeight="false" outlineLevel="0" collapsed="false">
      <c r="A60" s="8"/>
      <c r="B60" s="42"/>
      <c r="C60" s="43"/>
      <c r="D60" s="44"/>
      <c r="E60" s="44"/>
      <c r="F60" s="45"/>
      <c r="G60" s="46"/>
      <c r="H60" s="47"/>
      <c r="I60" s="9"/>
      <c r="J60" s="9"/>
      <c r="K60" s="43"/>
      <c r="L60" s="9"/>
      <c r="M60" s="9"/>
      <c r="N60" s="43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48"/>
      <c r="Z60" s="48"/>
      <c r="AA60" s="48"/>
      <c r="AB60" s="48"/>
      <c r="AC60" s="48"/>
      <c r="AD60" s="48"/>
      <c r="AE60" s="48"/>
      <c r="AF60" s="48"/>
      <c r="AG60" s="48"/>
      <c r="AH60" s="48"/>
      <c r="AI60" s="48"/>
      <c r="AJ60" s="48"/>
    </row>
    <row r="61" customFormat="false" ht="15" hidden="false" customHeight="false" outlineLevel="0" collapsed="false">
      <c r="A61" s="8"/>
      <c r="B61" s="42"/>
      <c r="C61" s="43"/>
      <c r="D61" s="44"/>
      <c r="E61" s="44"/>
      <c r="F61" s="45"/>
      <c r="G61" s="46"/>
      <c r="H61" s="47"/>
      <c r="I61" s="9"/>
      <c r="J61" s="9"/>
      <c r="K61" s="43"/>
      <c r="L61" s="9"/>
      <c r="M61" s="9"/>
      <c r="N61" s="43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48"/>
      <c r="Z61" s="48"/>
      <c r="AA61" s="48"/>
      <c r="AB61" s="48"/>
      <c r="AC61" s="48"/>
      <c r="AD61" s="48"/>
      <c r="AE61" s="48"/>
      <c r="AF61" s="48"/>
      <c r="AG61" s="48"/>
      <c r="AH61" s="48"/>
      <c r="AI61" s="48"/>
      <c r="AJ61" s="48"/>
    </row>
    <row r="62" customFormat="false" ht="15" hidden="false" customHeight="false" outlineLevel="0" collapsed="false">
      <c r="A62" s="8"/>
      <c r="B62" s="42"/>
      <c r="C62" s="43"/>
      <c r="D62" s="44"/>
      <c r="E62" s="44"/>
      <c r="F62" s="45"/>
      <c r="G62" s="46"/>
      <c r="H62" s="47"/>
      <c r="I62" s="9"/>
      <c r="J62" s="9"/>
      <c r="K62" s="43"/>
      <c r="L62" s="9"/>
      <c r="M62" s="9"/>
      <c r="N62" s="43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48"/>
      <c r="Z62" s="48"/>
      <c r="AA62" s="48"/>
      <c r="AB62" s="48"/>
      <c r="AC62" s="48"/>
      <c r="AD62" s="48"/>
      <c r="AE62" s="48"/>
      <c r="AF62" s="48"/>
      <c r="AG62" s="48"/>
      <c r="AH62" s="48"/>
      <c r="AI62" s="48"/>
      <c r="AJ62" s="48"/>
    </row>
    <row r="63" customFormat="false" ht="15" hidden="false" customHeight="false" outlineLevel="0" collapsed="false">
      <c r="A63" s="8"/>
      <c r="B63" s="42"/>
      <c r="C63" s="43"/>
      <c r="D63" s="44"/>
      <c r="E63" s="44"/>
      <c r="F63" s="45"/>
      <c r="G63" s="46"/>
      <c r="H63" s="47"/>
      <c r="I63" s="9"/>
      <c r="J63" s="9"/>
      <c r="K63" s="43"/>
      <c r="L63" s="9"/>
      <c r="M63" s="9"/>
      <c r="N63" s="43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48"/>
      <c r="Z63" s="48"/>
      <c r="AA63" s="48"/>
      <c r="AB63" s="48"/>
      <c r="AC63" s="48"/>
      <c r="AD63" s="48"/>
      <c r="AE63" s="48"/>
      <c r="AF63" s="48"/>
      <c r="AG63" s="48"/>
      <c r="AH63" s="48"/>
      <c r="AI63" s="48"/>
      <c r="AJ63" s="48"/>
    </row>
    <row r="64" customFormat="false" ht="15" hidden="false" customHeight="false" outlineLevel="0" collapsed="false">
      <c r="A64" s="8"/>
      <c r="B64" s="42"/>
      <c r="C64" s="43"/>
      <c r="D64" s="44"/>
      <c r="E64" s="44"/>
      <c r="F64" s="45"/>
      <c r="G64" s="46"/>
      <c r="H64" s="47"/>
      <c r="I64" s="9"/>
      <c r="J64" s="9"/>
      <c r="K64" s="43"/>
      <c r="L64" s="9"/>
      <c r="M64" s="9"/>
      <c r="N64" s="43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48"/>
      <c r="Z64" s="48"/>
      <c r="AA64" s="48"/>
      <c r="AB64" s="48"/>
      <c r="AC64" s="48"/>
      <c r="AD64" s="48"/>
      <c r="AE64" s="48"/>
      <c r="AF64" s="48"/>
      <c r="AG64" s="48"/>
      <c r="AH64" s="48"/>
      <c r="AI64" s="48"/>
      <c r="AJ64" s="48"/>
    </row>
    <row r="65" customFormat="false" ht="15" hidden="false" customHeight="false" outlineLevel="0" collapsed="false">
      <c r="A65" s="8"/>
      <c r="B65" s="42"/>
      <c r="C65" s="43"/>
      <c r="D65" s="44"/>
      <c r="E65" s="44"/>
      <c r="F65" s="45"/>
      <c r="G65" s="46"/>
      <c r="H65" s="47"/>
      <c r="I65" s="9"/>
      <c r="J65" s="9"/>
      <c r="K65" s="43"/>
      <c r="L65" s="9"/>
      <c r="M65" s="9"/>
      <c r="N65" s="43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48"/>
      <c r="Z65" s="48"/>
      <c r="AA65" s="48"/>
      <c r="AB65" s="48"/>
      <c r="AC65" s="48"/>
      <c r="AD65" s="48"/>
      <c r="AE65" s="48"/>
      <c r="AF65" s="48"/>
      <c r="AG65" s="48"/>
      <c r="AH65" s="48"/>
      <c r="AI65" s="48"/>
      <c r="AJ65" s="48"/>
    </row>
    <row r="66" customFormat="false" ht="15" hidden="false" customHeight="false" outlineLevel="0" collapsed="false">
      <c r="A66" s="8"/>
      <c r="B66" s="42"/>
      <c r="C66" s="43"/>
      <c r="D66" s="44"/>
      <c r="E66" s="44"/>
      <c r="F66" s="45"/>
      <c r="G66" s="46"/>
      <c r="H66" s="47"/>
      <c r="I66" s="9"/>
      <c r="J66" s="9"/>
      <c r="K66" s="43"/>
      <c r="L66" s="9"/>
      <c r="M66" s="9"/>
      <c r="N66" s="43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48"/>
      <c r="Z66" s="48"/>
      <c r="AA66" s="48"/>
      <c r="AB66" s="48"/>
      <c r="AC66" s="48"/>
      <c r="AD66" s="48"/>
      <c r="AE66" s="48"/>
      <c r="AF66" s="48"/>
      <c r="AG66" s="48"/>
      <c r="AH66" s="48"/>
      <c r="AI66" s="48"/>
      <c r="AJ66" s="48"/>
    </row>
    <row r="67" customFormat="false" ht="15" hidden="false" customHeight="false" outlineLevel="0" collapsed="false">
      <c r="A67" s="8"/>
      <c r="B67" s="42"/>
      <c r="C67" s="43"/>
      <c r="D67" s="44"/>
      <c r="E67" s="44"/>
      <c r="F67" s="45"/>
      <c r="G67" s="46"/>
      <c r="H67" s="47"/>
      <c r="I67" s="9"/>
      <c r="J67" s="9"/>
      <c r="K67" s="43"/>
      <c r="L67" s="9"/>
      <c r="M67" s="9"/>
      <c r="N67" s="43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48"/>
      <c r="Z67" s="48"/>
      <c r="AA67" s="48"/>
      <c r="AB67" s="48"/>
      <c r="AC67" s="48"/>
      <c r="AD67" s="48"/>
      <c r="AE67" s="48"/>
      <c r="AF67" s="48"/>
      <c r="AG67" s="48"/>
      <c r="AH67" s="48"/>
      <c r="AI67" s="48"/>
      <c r="AJ67" s="48"/>
    </row>
    <row r="68" customFormat="false" ht="15" hidden="false" customHeight="false" outlineLevel="0" collapsed="false">
      <c r="A68" s="8"/>
      <c r="B68" s="42"/>
      <c r="C68" s="43"/>
      <c r="D68" s="44"/>
      <c r="E68" s="44"/>
      <c r="F68" s="45"/>
      <c r="G68" s="46"/>
      <c r="H68" s="47"/>
      <c r="I68" s="9"/>
      <c r="J68" s="9"/>
      <c r="K68" s="43"/>
      <c r="L68" s="9"/>
      <c r="M68" s="9"/>
      <c r="N68" s="43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48"/>
      <c r="Z68" s="48"/>
      <c r="AA68" s="48"/>
      <c r="AB68" s="48"/>
      <c r="AC68" s="48"/>
      <c r="AD68" s="48"/>
      <c r="AE68" s="48"/>
      <c r="AF68" s="48"/>
      <c r="AG68" s="48"/>
      <c r="AH68" s="48"/>
      <c r="AI68" s="48"/>
      <c r="AJ68" s="48"/>
    </row>
    <row r="69" customFormat="false" ht="15" hidden="false" customHeight="false" outlineLevel="0" collapsed="false">
      <c r="A69" s="8"/>
      <c r="B69" s="42"/>
      <c r="C69" s="43"/>
      <c r="D69" s="44"/>
      <c r="E69" s="44"/>
      <c r="F69" s="45"/>
      <c r="G69" s="46"/>
      <c r="H69" s="47"/>
      <c r="I69" s="9"/>
      <c r="J69" s="9"/>
      <c r="K69" s="43"/>
      <c r="L69" s="9"/>
      <c r="M69" s="9"/>
      <c r="N69" s="43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</row>
    <row r="70" customFormat="false" ht="15" hidden="false" customHeight="false" outlineLevel="0" collapsed="false">
      <c r="A70" s="8"/>
      <c r="B70" s="42"/>
      <c r="C70" s="43"/>
      <c r="D70" s="44"/>
      <c r="E70" s="44"/>
      <c r="F70" s="45"/>
      <c r="G70" s="46"/>
      <c r="H70" s="47"/>
      <c r="I70" s="9"/>
      <c r="J70" s="9"/>
      <c r="K70" s="43"/>
      <c r="L70" s="9"/>
      <c r="M70" s="9"/>
      <c r="N70" s="43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48"/>
      <c r="Z70" s="48"/>
      <c r="AA70" s="48"/>
      <c r="AB70" s="48"/>
      <c r="AC70" s="48"/>
      <c r="AD70" s="48"/>
      <c r="AE70" s="48"/>
      <c r="AF70" s="48"/>
      <c r="AG70" s="48"/>
      <c r="AH70" s="48"/>
      <c r="AI70" s="48"/>
      <c r="AJ70" s="48"/>
    </row>
    <row r="71" customFormat="false" ht="15" hidden="false" customHeight="false" outlineLevel="0" collapsed="false">
      <c r="A71" s="8"/>
      <c r="B71" s="42"/>
      <c r="C71" s="43"/>
      <c r="D71" s="44"/>
      <c r="E71" s="44"/>
      <c r="F71" s="45"/>
      <c r="G71" s="46"/>
      <c r="H71" s="47"/>
      <c r="I71" s="9"/>
      <c r="J71" s="9"/>
      <c r="K71" s="43"/>
      <c r="L71" s="9"/>
      <c r="M71" s="9"/>
      <c r="N71" s="43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48"/>
      <c r="Z71" s="48"/>
      <c r="AA71" s="48"/>
      <c r="AB71" s="48"/>
      <c r="AC71" s="48"/>
      <c r="AD71" s="48"/>
      <c r="AE71" s="48"/>
      <c r="AF71" s="48"/>
      <c r="AG71" s="48"/>
      <c r="AH71" s="48"/>
      <c r="AI71" s="48"/>
      <c r="AJ71" s="48"/>
    </row>
    <row r="72" customFormat="false" ht="15" hidden="false" customHeight="false" outlineLevel="0" collapsed="false">
      <c r="A72" s="8"/>
      <c r="B72" s="42"/>
      <c r="C72" s="43"/>
      <c r="D72" s="44"/>
      <c r="E72" s="44"/>
      <c r="F72" s="45"/>
      <c r="G72" s="46"/>
      <c r="H72" s="47"/>
      <c r="I72" s="9"/>
      <c r="J72" s="9"/>
      <c r="K72" s="43"/>
      <c r="L72" s="9"/>
      <c r="M72" s="9"/>
      <c r="N72" s="43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48"/>
      <c r="Z72" s="48"/>
      <c r="AA72" s="48"/>
      <c r="AB72" s="48"/>
      <c r="AC72" s="48"/>
      <c r="AD72" s="48"/>
      <c r="AE72" s="48"/>
      <c r="AF72" s="48"/>
      <c r="AG72" s="48"/>
      <c r="AH72" s="48"/>
      <c r="AI72" s="48"/>
      <c r="AJ72" s="48"/>
    </row>
    <row r="73" customFormat="false" ht="15" hidden="false" customHeight="false" outlineLevel="0" collapsed="false">
      <c r="A73" s="8"/>
      <c r="B73" s="42"/>
      <c r="C73" s="43"/>
      <c r="D73" s="44"/>
      <c r="E73" s="44"/>
      <c r="F73" s="45"/>
      <c r="G73" s="46"/>
      <c r="H73" s="47"/>
      <c r="I73" s="9"/>
      <c r="J73" s="9"/>
      <c r="K73" s="43"/>
      <c r="L73" s="9"/>
      <c r="M73" s="9"/>
      <c r="N73" s="43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48"/>
      <c r="Z73" s="48"/>
      <c r="AA73" s="48"/>
      <c r="AB73" s="48"/>
      <c r="AC73" s="48"/>
      <c r="AD73" s="48"/>
      <c r="AE73" s="48"/>
      <c r="AF73" s="48"/>
      <c r="AG73" s="48"/>
      <c r="AH73" s="48"/>
      <c r="AI73" s="48"/>
      <c r="AJ73" s="48"/>
    </row>
    <row r="74" customFormat="false" ht="15" hidden="false" customHeight="false" outlineLevel="0" collapsed="false">
      <c r="A74" s="8"/>
      <c r="B74" s="42"/>
      <c r="C74" s="43"/>
      <c r="D74" s="44"/>
      <c r="E74" s="44"/>
      <c r="F74" s="45"/>
      <c r="G74" s="46"/>
      <c r="H74" s="47"/>
      <c r="I74" s="9"/>
      <c r="J74" s="9"/>
      <c r="K74" s="43"/>
      <c r="L74" s="9"/>
      <c r="M74" s="9"/>
      <c r="N74" s="43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48"/>
      <c r="Z74" s="48"/>
      <c r="AA74" s="48"/>
      <c r="AB74" s="48"/>
      <c r="AC74" s="48"/>
      <c r="AD74" s="48"/>
      <c r="AE74" s="48"/>
      <c r="AF74" s="48"/>
      <c r="AG74" s="48"/>
      <c r="AH74" s="48"/>
      <c r="AI74" s="48"/>
      <c r="AJ74" s="48"/>
    </row>
    <row r="75" customFormat="false" ht="15" hidden="false" customHeight="false" outlineLevel="0" collapsed="false">
      <c r="A75" s="8"/>
      <c r="B75" s="42"/>
      <c r="C75" s="43"/>
      <c r="D75" s="44"/>
      <c r="E75" s="44"/>
      <c r="F75" s="45"/>
      <c r="G75" s="46"/>
      <c r="H75" s="47"/>
      <c r="I75" s="9"/>
      <c r="J75" s="9"/>
      <c r="K75" s="43"/>
      <c r="L75" s="9"/>
      <c r="M75" s="9"/>
      <c r="N75" s="43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48"/>
      <c r="Z75" s="48"/>
      <c r="AA75" s="48"/>
      <c r="AB75" s="48"/>
      <c r="AC75" s="48"/>
      <c r="AD75" s="48"/>
      <c r="AE75" s="48"/>
      <c r="AF75" s="48"/>
      <c r="AG75" s="48"/>
      <c r="AH75" s="48"/>
      <c r="AI75" s="48"/>
      <c r="AJ75" s="48"/>
    </row>
    <row r="76" customFormat="false" ht="15" hidden="false" customHeight="false" outlineLevel="0" collapsed="false">
      <c r="A76" s="8"/>
      <c r="B76" s="42"/>
      <c r="C76" s="43"/>
      <c r="D76" s="44"/>
      <c r="E76" s="44"/>
      <c r="F76" s="45"/>
      <c r="G76" s="46"/>
      <c r="H76" s="47"/>
      <c r="I76" s="9"/>
      <c r="J76" s="9"/>
      <c r="K76" s="43"/>
      <c r="L76" s="9"/>
      <c r="M76" s="9"/>
      <c r="N76" s="43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48"/>
      <c r="Z76" s="48"/>
      <c r="AA76" s="48"/>
      <c r="AB76" s="48"/>
      <c r="AC76" s="48"/>
      <c r="AD76" s="48"/>
      <c r="AE76" s="48"/>
      <c r="AF76" s="48"/>
      <c r="AG76" s="48"/>
      <c r="AH76" s="48"/>
      <c r="AI76" s="48"/>
      <c r="AJ76" s="48"/>
    </row>
    <row r="77" customFormat="false" ht="15" hidden="false" customHeight="false" outlineLevel="0" collapsed="false">
      <c r="A77" s="8"/>
      <c r="B77" s="42"/>
      <c r="C77" s="43"/>
      <c r="D77" s="44"/>
      <c r="E77" s="44"/>
      <c r="F77" s="45"/>
      <c r="G77" s="46"/>
      <c r="H77" s="47"/>
      <c r="I77" s="9"/>
      <c r="J77" s="9"/>
      <c r="K77" s="43"/>
      <c r="L77" s="9"/>
      <c r="M77" s="9"/>
      <c r="N77" s="43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48"/>
      <c r="Z77" s="48"/>
      <c r="AA77" s="48"/>
      <c r="AB77" s="48"/>
      <c r="AC77" s="48"/>
      <c r="AD77" s="48"/>
      <c r="AE77" s="48"/>
      <c r="AF77" s="48"/>
      <c r="AG77" s="48"/>
      <c r="AH77" s="48"/>
      <c r="AI77" s="48"/>
      <c r="AJ77" s="48"/>
    </row>
    <row r="78" customFormat="false" ht="15" hidden="false" customHeight="false" outlineLevel="0" collapsed="false">
      <c r="A78" s="8"/>
      <c r="B78" s="42"/>
      <c r="C78" s="43"/>
      <c r="D78" s="44"/>
      <c r="E78" s="44"/>
      <c r="F78" s="45"/>
      <c r="G78" s="46"/>
      <c r="H78" s="47"/>
      <c r="I78" s="9"/>
      <c r="J78" s="9"/>
      <c r="K78" s="43"/>
      <c r="L78" s="9"/>
      <c r="M78" s="9"/>
      <c r="N78" s="43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</row>
    <row r="79" customFormat="false" ht="15" hidden="false" customHeight="false" outlineLevel="0" collapsed="false">
      <c r="A79" s="8"/>
      <c r="B79" s="42"/>
      <c r="C79" s="43"/>
      <c r="D79" s="44"/>
      <c r="E79" s="44"/>
      <c r="F79" s="45"/>
      <c r="G79" s="46"/>
      <c r="H79" s="47"/>
      <c r="I79" s="9"/>
      <c r="J79" s="9"/>
      <c r="K79" s="43"/>
      <c r="L79" s="9"/>
      <c r="M79" s="9"/>
      <c r="N79" s="43"/>
      <c r="O79" s="48"/>
      <c r="P79" s="48"/>
      <c r="Q79" s="48"/>
      <c r="R79" s="48"/>
      <c r="S79" s="48"/>
      <c r="T79" s="48"/>
      <c r="U79" s="48"/>
      <c r="V79" s="48"/>
      <c r="W79" s="48"/>
      <c r="X79" s="48"/>
      <c r="Y79" s="48"/>
      <c r="Z79" s="48"/>
      <c r="AA79" s="48"/>
      <c r="AB79" s="48"/>
      <c r="AC79" s="48"/>
      <c r="AD79" s="48"/>
      <c r="AE79" s="48"/>
      <c r="AF79" s="48"/>
      <c r="AG79" s="48"/>
      <c r="AH79" s="48"/>
      <c r="AI79" s="48"/>
      <c r="AJ79" s="48"/>
    </row>
    <row r="80" customFormat="false" ht="15" hidden="false" customHeight="false" outlineLevel="0" collapsed="false">
      <c r="A80" s="8"/>
      <c r="B80" s="42"/>
      <c r="C80" s="43"/>
      <c r="D80" s="44"/>
      <c r="E80" s="44"/>
      <c r="F80" s="45"/>
      <c r="G80" s="46"/>
      <c r="H80" s="47"/>
      <c r="I80" s="9"/>
      <c r="J80" s="9"/>
      <c r="K80" s="43"/>
      <c r="L80" s="9"/>
      <c r="M80" s="9"/>
      <c r="N80" s="43"/>
      <c r="O80" s="48"/>
      <c r="P80" s="48"/>
      <c r="Q80" s="48"/>
      <c r="R80" s="48"/>
      <c r="S80" s="48"/>
      <c r="T80" s="48"/>
      <c r="U80" s="48"/>
      <c r="V80" s="48"/>
      <c r="W80" s="48"/>
      <c r="X80" s="48"/>
      <c r="Y80" s="48"/>
      <c r="Z80" s="48"/>
      <c r="AA80" s="48"/>
      <c r="AB80" s="48"/>
      <c r="AC80" s="48"/>
      <c r="AD80" s="48"/>
      <c r="AE80" s="48"/>
      <c r="AF80" s="48"/>
      <c r="AG80" s="48"/>
      <c r="AH80" s="48"/>
      <c r="AI80" s="48"/>
      <c r="AJ80" s="48"/>
    </row>
    <row r="81" customFormat="false" ht="15" hidden="false" customHeight="false" outlineLevel="0" collapsed="false">
      <c r="A81" s="8"/>
      <c r="B81" s="42"/>
      <c r="C81" s="43"/>
      <c r="D81" s="44"/>
      <c r="E81" s="44"/>
      <c r="F81" s="45"/>
      <c r="G81" s="46"/>
      <c r="H81" s="47"/>
      <c r="I81" s="9"/>
      <c r="J81" s="9"/>
      <c r="K81" s="43"/>
      <c r="L81" s="9"/>
      <c r="M81" s="9"/>
      <c r="N81" s="43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48"/>
      <c r="Z81" s="48"/>
      <c r="AA81" s="48"/>
      <c r="AB81" s="48"/>
      <c r="AC81" s="48"/>
      <c r="AD81" s="48"/>
      <c r="AE81" s="48"/>
      <c r="AF81" s="48"/>
      <c r="AG81" s="48"/>
      <c r="AH81" s="48"/>
      <c r="AI81" s="48"/>
      <c r="AJ81" s="48"/>
    </row>
    <row r="82" customFormat="false" ht="15" hidden="false" customHeight="false" outlineLevel="0" collapsed="false">
      <c r="A82" s="8"/>
      <c r="B82" s="42"/>
      <c r="C82" s="43"/>
      <c r="D82" s="44"/>
      <c r="E82" s="44"/>
      <c r="F82" s="45"/>
      <c r="G82" s="46"/>
      <c r="H82" s="47"/>
      <c r="I82" s="9"/>
      <c r="J82" s="9"/>
      <c r="K82" s="43"/>
      <c r="L82" s="9"/>
      <c r="M82" s="9"/>
      <c r="N82" s="43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48"/>
      <c r="Z82" s="48"/>
      <c r="AA82" s="48"/>
      <c r="AB82" s="48"/>
      <c r="AC82" s="48"/>
      <c r="AD82" s="48"/>
      <c r="AE82" s="48"/>
      <c r="AF82" s="48"/>
      <c r="AG82" s="48"/>
      <c r="AH82" s="48"/>
      <c r="AI82" s="48"/>
      <c r="AJ82" s="48"/>
    </row>
    <row r="83" customFormat="false" ht="15" hidden="false" customHeight="false" outlineLevel="0" collapsed="false">
      <c r="A83" s="8"/>
      <c r="B83" s="42"/>
      <c r="C83" s="43"/>
      <c r="D83" s="44"/>
      <c r="E83" s="44"/>
      <c r="F83" s="45"/>
      <c r="G83" s="46"/>
      <c r="H83" s="47"/>
      <c r="I83" s="9"/>
      <c r="J83" s="9"/>
      <c r="K83" s="43"/>
      <c r="L83" s="9"/>
      <c r="M83" s="9"/>
      <c r="N83" s="43"/>
      <c r="O83" s="48"/>
      <c r="P83" s="48"/>
      <c r="Q83" s="48"/>
      <c r="R83" s="48"/>
      <c r="S83" s="48"/>
      <c r="T83" s="48"/>
      <c r="U83" s="48"/>
      <c r="V83" s="48"/>
      <c r="W83" s="48"/>
      <c r="X83" s="48"/>
      <c r="Y83" s="48"/>
      <c r="Z83" s="48"/>
      <c r="AA83" s="48"/>
      <c r="AB83" s="48"/>
      <c r="AC83" s="48"/>
      <c r="AD83" s="48"/>
      <c r="AE83" s="48"/>
      <c r="AF83" s="48"/>
      <c r="AG83" s="48"/>
      <c r="AH83" s="48"/>
      <c r="AI83" s="48"/>
      <c r="AJ83" s="48"/>
    </row>
    <row r="84" customFormat="false" ht="15" hidden="false" customHeight="false" outlineLevel="0" collapsed="false">
      <c r="A84" s="8"/>
      <c r="B84" s="42"/>
      <c r="C84" s="43"/>
      <c r="D84" s="44"/>
      <c r="E84" s="44"/>
      <c r="F84" s="45"/>
      <c r="G84" s="46"/>
      <c r="H84" s="47"/>
      <c r="I84" s="9"/>
      <c r="J84" s="9"/>
      <c r="K84" s="43"/>
      <c r="L84" s="9"/>
      <c r="M84" s="9"/>
      <c r="N84" s="43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48"/>
      <c r="Z84" s="48"/>
      <c r="AA84" s="48"/>
      <c r="AB84" s="48"/>
      <c r="AC84" s="48"/>
      <c r="AD84" s="48"/>
      <c r="AE84" s="48"/>
      <c r="AF84" s="48"/>
      <c r="AG84" s="48"/>
      <c r="AH84" s="48"/>
      <c r="AI84" s="48"/>
      <c r="AJ84" s="48"/>
    </row>
    <row r="85" customFormat="false" ht="15" hidden="false" customHeight="false" outlineLevel="0" collapsed="false">
      <c r="A85" s="8"/>
      <c r="B85" s="42"/>
      <c r="C85" s="43"/>
      <c r="D85" s="44"/>
      <c r="E85" s="44"/>
      <c r="F85" s="45"/>
      <c r="G85" s="46"/>
      <c r="H85" s="47"/>
      <c r="I85" s="9"/>
      <c r="J85" s="9"/>
      <c r="K85" s="43"/>
      <c r="L85" s="9"/>
      <c r="M85" s="9"/>
      <c r="N85" s="43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  <c r="Z85" s="48"/>
      <c r="AA85" s="48"/>
      <c r="AB85" s="48"/>
      <c r="AC85" s="48"/>
      <c r="AD85" s="48"/>
      <c r="AE85" s="48"/>
      <c r="AF85" s="48"/>
      <c r="AG85" s="48"/>
      <c r="AH85" s="48"/>
      <c r="AI85" s="48"/>
      <c r="AJ85" s="48"/>
    </row>
    <row r="86" customFormat="false" ht="15" hidden="false" customHeight="false" outlineLevel="0" collapsed="false">
      <c r="A86" s="8"/>
      <c r="B86" s="42"/>
      <c r="C86" s="43"/>
      <c r="D86" s="44"/>
      <c r="E86" s="44"/>
      <c r="F86" s="45"/>
      <c r="G86" s="46"/>
      <c r="H86" s="47"/>
      <c r="I86" s="9"/>
      <c r="J86" s="9"/>
      <c r="K86" s="43"/>
      <c r="L86" s="9"/>
      <c r="M86" s="9"/>
      <c r="N86" s="43"/>
      <c r="O86" s="48"/>
      <c r="P86" s="48"/>
      <c r="Q86" s="48"/>
      <c r="R86" s="48"/>
      <c r="S86" s="48"/>
      <c r="T86" s="48"/>
      <c r="U86" s="48"/>
      <c r="V86" s="48"/>
      <c r="W86" s="48"/>
      <c r="X86" s="48"/>
      <c r="Y86" s="48"/>
      <c r="Z86" s="48"/>
      <c r="AA86" s="48"/>
      <c r="AB86" s="48"/>
      <c r="AC86" s="48"/>
      <c r="AD86" s="48"/>
      <c r="AE86" s="48"/>
      <c r="AF86" s="48"/>
      <c r="AG86" s="48"/>
      <c r="AH86" s="48"/>
      <c r="AI86" s="48"/>
      <c r="AJ86" s="48"/>
    </row>
    <row r="87" customFormat="false" ht="15" hidden="false" customHeight="false" outlineLevel="0" collapsed="false">
      <c r="A87" s="8"/>
      <c r="B87" s="42"/>
      <c r="C87" s="43"/>
      <c r="D87" s="44"/>
      <c r="E87" s="44"/>
      <c r="F87" s="45"/>
      <c r="G87" s="46"/>
      <c r="H87" s="47"/>
      <c r="I87" s="9"/>
      <c r="J87" s="9"/>
      <c r="K87" s="43"/>
      <c r="L87" s="9"/>
      <c r="M87" s="9"/>
      <c r="N87" s="43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48"/>
      <c r="Z87" s="48"/>
      <c r="AA87" s="48"/>
      <c r="AB87" s="48"/>
      <c r="AC87" s="48"/>
      <c r="AD87" s="48"/>
      <c r="AE87" s="48"/>
      <c r="AF87" s="48"/>
      <c r="AG87" s="48"/>
      <c r="AH87" s="48"/>
      <c r="AI87" s="48"/>
      <c r="AJ87" s="48"/>
    </row>
    <row r="88" customFormat="false" ht="15" hidden="false" customHeight="false" outlineLevel="0" collapsed="false">
      <c r="A88" s="8"/>
      <c r="B88" s="42"/>
      <c r="C88" s="43"/>
      <c r="D88" s="44"/>
      <c r="E88" s="44"/>
      <c r="F88" s="45"/>
      <c r="G88" s="46"/>
      <c r="H88" s="47"/>
      <c r="I88" s="9"/>
      <c r="J88" s="9"/>
      <c r="K88" s="43"/>
      <c r="L88" s="9"/>
      <c r="M88" s="9"/>
      <c r="N88" s="43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48"/>
      <c r="Z88" s="48"/>
      <c r="AA88" s="48"/>
      <c r="AB88" s="48"/>
      <c r="AC88" s="48"/>
      <c r="AD88" s="48"/>
      <c r="AE88" s="48"/>
      <c r="AF88" s="48"/>
      <c r="AG88" s="48"/>
      <c r="AH88" s="48"/>
      <c r="AI88" s="48"/>
      <c r="AJ88" s="48"/>
    </row>
    <row r="89" customFormat="false" ht="15" hidden="false" customHeight="false" outlineLevel="0" collapsed="false">
      <c r="A89" s="8"/>
      <c r="B89" s="42"/>
      <c r="C89" s="43"/>
      <c r="D89" s="44"/>
      <c r="E89" s="44"/>
      <c r="F89" s="45"/>
      <c r="G89" s="46"/>
      <c r="H89" s="47"/>
      <c r="I89" s="9"/>
      <c r="J89" s="9"/>
      <c r="K89" s="43"/>
      <c r="L89" s="9"/>
      <c r="M89" s="9"/>
      <c r="N89" s="43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48"/>
      <c r="Z89" s="48"/>
      <c r="AA89" s="48"/>
      <c r="AB89" s="48"/>
      <c r="AC89" s="48"/>
      <c r="AD89" s="48"/>
      <c r="AE89" s="48"/>
      <c r="AF89" s="48"/>
      <c r="AG89" s="48"/>
      <c r="AH89" s="48"/>
      <c r="AI89" s="48"/>
      <c r="AJ89" s="48"/>
    </row>
    <row r="90" customFormat="false" ht="15" hidden="false" customHeight="false" outlineLevel="0" collapsed="false">
      <c r="A90" s="8"/>
      <c r="B90" s="42"/>
      <c r="C90" s="43"/>
      <c r="D90" s="44"/>
      <c r="E90" s="44"/>
      <c r="F90" s="45"/>
      <c r="G90" s="46"/>
      <c r="H90" s="47"/>
      <c r="I90" s="9"/>
      <c r="J90" s="9"/>
      <c r="K90" s="43"/>
      <c r="L90" s="9"/>
      <c r="M90" s="9"/>
      <c r="N90" s="43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48"/>
      <c r="Z90" s="48"/>
      <c r="AA90" s="48"/>
      <c r="AB90" s="48"/>
      <c r="AC90" s="48"/>
      <c r="AD90" s="48"/>
      <c r="AE90" s="48"/>
      <c r="AF90" s="48"/>
      <c r="AG90" s="48"/>
      <c r="AH90" s="48"/>
      <c r="AI90" s="48"/>
      <c r="AJ90" s="48"/>
    </row>
    <row r="91" customFormat="false" ht="15" hidden="false" customHeight="false" outlineLevel="0" collapsed="false">
      <c r="A91" s="8"/>
      <c r="B91" s="42"/>
      <c r="C91" s="43"/>
      <c r="D91" s="44"/>
      <c r="E91" s="44"/>
      <c r="F91" s="45"/>
      <c r="G91" s="46"/>
      <c r="H91" s="47"/>
      <c r="I91" s="9"/>
      <c r="J91" s="9"/>
      <c r="K91" s="43"/>
      <c r="L91" s="9"/>
      <c r="M91" s="9"/>
      <c r="N91" s="43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48"/>
      <c r="AA91" s="48"/>
      <c r="AB91" s="48"/>
      <c r="AC91" s="48"/>
      <c r="AD91" s="48"/>
      <c r="AE91" s="48"/>
      <c r="AF91" s="48"/>
      <c r="AG91" s="48"/>
      <c r="AH91" s="48"/>
      <c r="AI91" s="48"/>
      <c r="AJ91" s="48"/>
    </row>
    <row r="92" customFormat="false" ht="15" hidden="false" customHeight="false" outlineLevel="0" collapsed="false">
      <c r="A92" s="8"/>
      <c r="B92" s="42"/>
      <c r="C92" s="43"/>
      <c r="D92" s="44"/>
      <c r="E92" s="44"/>
      <c r="F92" s="45"/>
      <c r="G92" s="46"/>
      <c r="H92" s="47"/>
      <c r="I92" s="9"/>
      <c r="J92" s="9"/>
      <c r="K92" s="43"/>
      <c r="L92" s="9"/>
      <c r="M92" s="9"/>
      <c r="N92" s="43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48"/>
      <c r="Z92" s="48"/>
      <c r="AA92" s="48"/>
      <c r="AB92" s="48"/>
      <c r="AC92" s="48"/>
      <c r="AD92" s="48"/>
      <c r="AE92" s="48"/>
      <c r="AF92" s="48"/>
      <c r="AG92" s="48"/>
      <c r="AH92" s="48"/>
      <c r="AI92" s="48"/>
      <c r="AJ92" s="48"/>
    </row>
    <row r="93" customFormat="false" ht="15" hidden="false" customHeight="false" outlineLevel="0" collapsed="false">
      <c r="A93" s="8"/>
      <c r="B93" s="42"/>
      <c r="C93" s="43"/>
      <c r="D93" s="44"/>
      <c r="E93" s="44"/>
      <c r="F93" s="45"/>
      <c r="G93" s="46"/>
      <c r="H93" s="47"/>
      <c r="I93" s="9"/>
      <c r="J93" s="9"/>
      <c r="K93" s="43"/>
      <c r="L93" s="9"/>
      <c r="M93" s="9"/>
      <c r="N93" s="43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</row>
    <row r="94" customFormat="false" ht="15" hidden="false" customHeight="false" outlineLevel="0" collapsed="false">
      <c r="A94" s="8"/>
      <c r="B94" s="42"/>
      <c r="C94" s="43"/>
      <c r="D94" s="44"/>
      <c r="E94" s="44"/>
      <c r="F94" s="45"/>
      <c r="G94" s="46"/>
      <c r="H94" s="47"/>
      <c r="I94" s="9"/>
      <c r="J94" s="9"/>
      <c r="K94" s="43"/>
      <c r="L94" s="9"/>
      <c r="M94" s="9"/>
      <c r="N94" s="43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48"/>
      <c r="Z94" s="48"/>
      <c r="AA94" s="48"/>
      <c r="AB94" s="48"/>
      <c r="AC94" s="48"/>
      <c r="AD94" s="48"/>
      <c r="AE94" s="48"/>
      <c r="AF94" s="48"/>
      <c r="AG94" s="48"/>
      <c r="AH94" s="48"/>
      <c r="AI94" s="48"/>
      <c r="AJ94" s="48"/>
    </row>
    <row r="95" customFormat="false" ht="15" hidden="false" customHeight="false" outlineLevel="0" collapsed="false">
      <c r="A95" s="8"/>
      <c r="B95" s="42"/>
      <c r="C95" s="43"/>
      <c r="D95" s="44"/>
      <c r="E95" s="44"/>
      <c r="F95" s="45"/>
      <c r="G95" s="46"/>
      <c r="H95" s="47"/>
      <c r="I95" s="9"/>
      <c r="J95" s="9"/>
      <c r="K95" s="43"/>
      <c r="L95" s="9"/>
      <c r="M95" s="9"/>
      <c r="N95" s="43"/>
      <c r="O95" s="48"/>
      <c r="P95" s="48"/>
      <c r="Q95" s="48"/>
      <c r="R95" s="48"/>
      <c r="S95" s="48"/>
      <c r="T95" s="48"/>
      <c r="U95" s="48"/>
      <c r="V95" s="48"/>
      <c r="W95" s="48"/>
      <c r="X95" s="48"/>
      <c r="Y95" s="48"/>
      <c r="Z95" s="48"/>
      <c r="AA95" s="48"/>
      <c r="AB95" s="48"/>
      <c r="AC95" s="48"/>
      <c r="AD95" s="48"/>
      <c r="AE95" s="48"/>
      <c r="AF95" s="48"/>
      <c r="AG95" s="48"/>
      <c r="AH95" s="48"/>
      <c r="AI95" s="48"/>
      <c r="AJ95" s="48"/>
    </row>
    <row r="96" customFormat="false" ht="15" hidden="false" customHeight="false" outlineLevel="0" collapsed="false">
      <c r="A96" s="8"/>
      <c r="B96" s="42"/>
      <c r="C96" s="43"/>
      <c r="D96" s="44"/>
      <c r="E96" s="44"/>
      <c r="F96" s="45"/>
      <c r="G96" s="46"/>
      <c r="H96" s="47"/>
      <c r="I96" s="9"/>
      <c r="J96" s="9"/>
      <c r="K96" s="43"/>
      <c r="L96" s="9"/>
      <c r="M96" s="9"/>
      <c r="N96" s="43"/>
      <c r="O96" s="48"/>
      <c r="P96" s="48"/>
      <c r="Q96" s="48"/>
      <c r="R96" s="48"/>
      <c r="S96" s="48"/>
      <c r="T96" s="48"/>
      <c r="U96" s="48"/>
      <c r="V96" s="48"/>
      <c r="W96" s="48"/>
      <c r="X96" s="48"/>
      <c r="Y96" s="48"/>
      <c r="Z96" s="48"/>
      <c r="AA96" s="48"/>
      <c r="AB96" s="48"/>
      <c r="AC96" s="48"/>
      <c r="AD96" s="48"/>
      <c r="AE96" s="48"/>
      <c r="AF96" s="48"/>
      <c r="AG96" s="48"/>
      <c r="AH96" s="48"/>
      <c r="AI96" s="48"/>
      <c r="AJ96" s="48"/>
    </row>
    <row r="97" customFormat="false" ht="15" hidden="false" customHeight="false" outlineLevel="0" collapsed="false">
      <c r="A97" s="8"/>
      <c r="B97" s="42"/>
      <c r="C97" s="43"/>
      <c r="D97" s="44"/>
      <c r="E97" s="44"/>
      <c r="F97" s="45"/>
      <c r="G97" s="46"/>
      <c r="H97" s="47"/>
      <c r="I97" s="9"/>
      <c r="J97" s="9"/>
      <c r="K97" s="43"/>
      <c r="L97" s="9"/>
      <c r="M97" s="9"/>
      <c r="N97" s="43"/>
      <c r="O97" s="48"/>
      <c r="P97" s="48"/>
      <c r="Q97" s="48"/>
      <c r="R97" s="48"/>
      <c r="S97" s="48"/>
      <c r="T97" s="48"/>
      <c r="U97" s="48"/>
      <c r="V97" s="48"/>
      <c r="W97" s="48"/>
      <c r="X97" s="48"/>
      <c r="Y97" s="48"/>
      <c r="Z97" s="48"/>
      <c r="AA97" s="48"/>
      <c r="AB97" s="48"/>
      <c r="AC97" s="48"/>
      <c r="AD97" s="48"/>
      <c r="AE97" s="48"/>
      <c r="AF97" s="48"/>
      <c r="AG97" s="48"/>
      <c r="AH97" s="48"/>
      <c r="AI97" s="48"/>
      <c r="AJ97" s="48"/>
    </row>
    <row r="98" customFormat="false" ht="15" hidden="false" customHeight="false" outlineLevel="0" collapsed="false">
      <c r="A98" s="8"/>
      <c r="B98" s="42"/>
      <c r="C98" s="43"/>
      <c r="D98" s="44"/>
      <c r="E98" s="44"/>
      <c r="F98" s="45"/>
      <c r="G98" s="46"/>
      <c r="H98" s="47"/>
      <c r="I98" s="9"/>
      <c r="J98" s="9"/>
      <c r="K98" s="43"/>
      <c r="L98" s="9"/>
      <c r="M98" s="9"/>
      <c r="N98" s="43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48"/>
      <c r="Z98" s="48"/>
      <c r="AA98" s="48"/>
      <c r="AB98" s="48"/>
      <c r="AC98" s="48"/>
      <c r="AD98" s="48"/>
      <c r="AE98" s="48"/>
      <c r="AF98" s="48"/>
      <c r="AG98" s="48"/>
      <c r="AH98" s="48"/>
      <c r="AI98" s="48"/>
      <c r="AJ98" s="48"/>
    </row>
    <row r="99" customFormat="false" ht="15" hidden="false" customHeight="false" outlineLevel="0" collapsed="false">
      <c r="A99" s="8"/>
      <c r="B99" s="42"/>
      <c r="C99" s="43"/>
      <c r="D99" s="44"/>
      <c r="E99" s="44"/>
      <c r="F99" s="45"/>
      <c r="G99" s="46"/>
      <c r="H99" s="47"/>
      <c r="I99" s="9"/>
      <c r="J99" s="9"/>
      <c r="K99" s="43"/>
      <c r="L99" s="9"/>
      <c r="M99" s="9"/>
      <c r="N99" s="43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48"/>
      <c r="Z99" s="48"/>
      <c r="AA99" s="48"/>
      <c r="AB99" s="48"/>
      <c r="AC99" s="48"/>
      <c r="AD99" s="48"/>
      <c r="AE99" s="48"/>
      <c r="AF99" s="48"/>
      <c r="AG99" s="48"/>
      <c r="AH99" s="48"/>
      <c r="AI99" s="48"/>
      <c r="AJ99" s="48"/>
    </row>
    <row r="100" customFormat="false" ht="15" hidden="false" customHeight="false" outlineLevel="0" collapsed="false">
      <c r="A100" s="8"/>
      <c r="B100" s="42"/>
      <c r="C100" s="43"/>
      <c r="D100" s="44"/>
      <c r="E100" s="44"/>
      <c r="F100" s="45"/>
      <c r="G100" s="46"/>
      <c r="H100" s="47"/>
      <c r="I100" s="9"/>
      <c r="J100" s="9"/>
      <c r="K100" s="43"/>
      <c r="L100" s="9"/>
      <c r="M100" s="9"/>
      <c r="N100" s="43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48"/>
      <c r="Z100" s="48"/>
      <c r="AA100" s="48"/>
      <c r="AB100" s="48"/>
      <c r="AC100" s="48"/>
      <c r="AD100" s="48"/>
      <c r="AE100" s="48"/>
      <c r="AF100" s="48"/>
      <c r="AG100" s="48"/>
      <c r="AH100" s="48"/>
      <c r="AI100" s="48"/>
      <c r="AJ100" s="48"/>
    </row>
    <row r="101" customFormat="false" ht="15" hidden="false" customHeight="false" outlineLevel="0" collapsed="false">
      <c r="A101" s="8"/>
      <c r="B101" s="42"/>
      <c r="C101" s="43"/>
      <c r="D101" s="44"/>
      <c r="E101" s="44"/>
      <c r="F101" s="45"/>
      <c r="G101" s="46"/>
      <c r="H101" s="47"/>
      <c r="I101" s="9"/>
      <c r="J101" s="9"/>
      <c r="K101" s="43"/>
      <c r="L101" s="9"/>
      <c r="M101" s="9"/>
      <c r="N101" s="43"/>
      <c r="O101" s="48"/>
      <c r="P101" s="48"/>
      <c r="Q101" s="48"/>
      <c r="R101" s="48"/>
      <c r="S101" s="48"/>
      <c r="T101" s="48"/>
      <c r="U101" s="48"/>
      <c r="V101" s="48"/>
      <c r="W101" s="48"/>
      <c r="X101" s="48"/>
      <c r="Y101" s="48"/>
      <c r="Z101" s="48"/>
      <c r="AA101" s="48"/>
      <c r="AB101" s="48"/>
      <c r="AC101" s="48"/>
      <c r="AD101" s="48"/>
      <c r="AE101" s="48"/>
      <c r="AF101" s="48"/>
      <c r="AG101" s="48"/>
      <c r="AH101" s="48"/>
      <c r="AI101" s="48"/>
      <c r="AJ101" s="48"/>
    </row>
    <row r="102" customFormat="false" ht="15" hidden="false" customHeight="false" outlineLevel="0" collapsed="false">
      <c r="A102" s="8"/>
      <c r="B102" s="42"/>
      <c r="C102" s="43"/>
      <c r="D102" s="44"/>
      <c r="E102" s="44"/>
      <c r="F102" s="45"/>
      <c r="G102" s="46"/>
      <c r="H102" s="47"/>
      <c r="I102" s="9"/>
      <c r="J102" s="9"/>
      <c r="K102" s="43"/>
      <c r="L102" s="9"/>
      <c r="M102" s="9"/>
      <c r="N102" s="43"/>
      <c r="O102" s="48"/>
      <c r="P102" s="48"/>
      <c r="Q102" s="48"/>
      <c r="R102" s="48"/>
      <c r="S102" s="48"/>
      <c r="T102" s="48"/>
      <c r="U102" s="48"/>
      <c r="V102" s="48"/>
      <c r="W102" s="48"/>
      <c r="X102" s="48"/>
      <c r="Y102" s="48"/>
      <c r="Z102" s="48"/>
      <c r="AA102" s="48"/>
      <c r="AB102" s="48"/>
      <c r="AC102" s="48"/>
      <c r="AD102" s="48"/>
      <c r="AE102" s="48"/>
      <c r="AF102" s="48"/>
      <c r="AG102" s="48"/>
      <c r="AH102" s="48"/>
      <c r="AI102" s="48"/>
      <c r="AJ102" s="48"/>
    </row>
    <row r="103" customFormat="false" ht="15" hidden="false" customHeight="false" outlineLevel="0" collapsed="false">
      <c r="A103" s="8"/>
      <c r="B103" s="42"/>
      <c r="C103" s="43"/>
      <c r="D103" s="44"/>
      <c r="E103" s="44"/>
      <c r="F103" s="45"/>
      <c r="G103" s="46"/>
      <c r="H103" s="47"/>
      <c r="I103" s="9"/>
      <c r="J103" s="9"/>
      <c r="K103" s="43"/>
      <c r="L103" s="9"/>
      <c r="M103" s="9"/>
      <c r="N103" s="43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</row>
    <row r="104" customFormat="false" ht="15" hidden="false" customHeight="false" outlineLevel="0" collapsed="false">
      <c r="A104" s="8"/>
      <c r="B104" s="42"/>
      <c r="C104" s="43"/>
      <c r="D104" s="44"/>
      <c r="E104" s="44"/>
      <c r="F104" s="45"/>
      <c r="G104" s="46"/>
      <c r="H104" s="47"/>
      <c r="I104" s="9"/>
      <c r="J104" s="9"/>
      <c r="K104" s="43"/>
      <c r="L104" s="9"/>
      <c r="M104" s="9"/>
      <c r="N104" s="43"/>
      <c r="O104" s="48"/>
      <c r="P104" s="48"/>
      <c r="Q104" s="48"/>
      <c r="R104" s="48"/>
      <c r="S104" s="48"/>
      <c r="T104" s="48"/>
      <c r="U104" s="48"/>
      <c r="V104" s="48"/>
      <c r="W104" s="48"/>
      <c r="X104" s="48"/>
      <c r="Y104" s="48"/>
      <c r="Z104" s="48"/>
      <c r="AA104" s="48"/>
      <c r="AB104" s="48"/>
      <c r="AC104" s="48"/>
      <c r="AD104" s="48"/>
      <c r="AE104" s="48"/>
      <c r="AF104" s="48"/>
      <c r="AG104" s="48"/>
      <c r="AH104" s="48"/>
      <c r="AI104" s="48"/>
      <c r="AJ104" s="48"/>
    </row>
    <row r="105" customFormat="false" ht="15" hidden="false" customHeight="false" outlineLevel="0" collapsed="false">
      <c r="A105" s="8"/>
      <c r="B105" s="42"/>
      <c r="C105" s="43"/>
      <c r="D105" s="44"/>
      <c r="E105" s="44"/>
      <c r="F105" s="45"/>
      <c r="G105" s="46"/>
      <c r="H105" s="47"/>
      <c r="I105" s="9"/>
      <c r="J105" s="9"/>
      <c r="K105" s="43"/>
      <c r="L105" s="9"/>
      <c r="M105" s="9"/>
      <c r="N105" s="43"/>
      <c r="O105" s="48"/>
      <c r="P105" s="48"/>
      <c r="Q105" s="48"/>
      <c r="R105" s="48"/>
      <c r="S105" s="48"/>
      <c r="T105" s="48"/>
      <c r="U105" s="48"/>
      <c r="V105" s="48"/>
      <c r="W105" s="48"/>
      <c r="X105" s="48"/>
      <c r="Y105" s="48"/>
      <c r="Z105" s="48"/>
      <c r="AA105" s="48"/>
      <c r="AB105" s="48"/>
      <c r="AC105" s="48"/>
      <c r="AD105" s="48"/>
      <c r="AE105" s="48"/>
      <c r="AF105" s="48"/>
      <c r="AG105" s="48"/>
      <c r="AH105" s="48"/>
      <c r="AI105" s="48"/>
      <c r="AJ105" s="48"/>
    </row>
    <row r="106" customFormat="false" ht="15" hidden="false" customHeight="false" outlineLevel="0" collapsed="false">
      <c r="A106" s="8"/>
      <c r="B106" s="42"/>
      <c r="C106" s="43"/>
      <c r="D106" s="44"/>
      <c r="E106" s="44"/>
      <c r="F106" s="45"/>
      <c r="G106" s="46"/>
      <c r="H106" s="47"/>
      <c r="I106" s="9"/>
      <c r="J106" s="9"/>
      <c r="K106" s="43"/>
      <c r="L106" s="9"/>
      <c r="M106" s="9"/>
      <c r="N106" s="43"/>
      <c r="O106" s="48"/>
      <c r="P106" s="48"/>
      <c r="Q106" s="48"/>
      <c r="R106" s="48"/>
      <c r="S106" s="48"/>
      <c r="T106" s="48"/>
      <c r="U106" s="48"/>
      <c r="V106" s="48"/>
      <c r="W106" s="48"/>
      <c r="X106" s="48"/>
      <c r="Y106" s="48"/>
      <c r="Z106" s="48"/>
      <c r="AA106" s="48"/>
      <c r="AB106" s="48"/>
      <c r="AC106" s="48"/>
      <c r="AD106" s="48"/>
      <c r="AE106" s="48"/>
      <c r="AF106" s="48"/>
      <c r="AG106" s="48"/>
      <c r="AH106" s="48"/>
      <c r="AI106" s="48"/>
      <c r="AJ106" s="48"/>
    </row>
    <row r="107" customFormat="false" ht="15" hidden="false" customHeight="false" outlineLevel="0" collapsed="false">
      <c r="A107" s="8"/>
      <c r="B107" s="42"/>
      <c r="C107" s="43"/>
      <c r="D107" s="44"/>
      <c r="E107" s="44"/>
      <c r="F107" s="45"/>
      <c r="G107" s="46"/>
      <c r="H107" s="47"/>
      <c r="I107" s="9"/>
      <c r="J107" s="9"/>
      <c r="K107" s="43"/>
      <c r="L107" s="9"/>
      <c r="M107" s="9"/>
      <c r="N107" s="43"/>
      <c r="O107" s="48"/>
      <c r="P107" s="48"/>
      <c r="Q107" s="48"/>
      <c r="R107" s="48"/>
      <c r="S107" s="48"/>
      <c r="T107" s="48"/>
      <c r="U107" s="48"/>
      <c r="V107" s="48"/>
      <c r="W107" s="48"/>
      <c r="X107" s="48"/>
      <c r="Y107" s="48"/>
      <c r="Z107" s="48"/>
      <c r="AA107" s="48"/>
      <c r="AB107" s="48"/>
      <c r="AC107" s="48"/>
      <c r="AD107" s="48"/>
      <c r="AE107" s="48"/>
      <c r="AF107" s="48"/>
      <c r="AG107" s="48"/>
      <c r="AH107" s="48"/>
      <c r="AI107" s="48"/>
      <c r="AJ107" s="48"/>
    </row>
    <row r="108" customFormat="false" ht="15" hidden="false" customHeight="false" outlineLevel="0" collapsed="false">
      <c r="A108" s="8"/>
      <c r="B108" s="42"/>
      <c r="C108" s="43"/>
      <c r="D108" s="44"/>
      <c r="E108" s="44"/>
      <c r="F108" s="45"/>
      <c r="G108" s="46"/>
      <c r="H108" s="47"/>
      <c r="I108" s="9"/>
      <c r="J108" s="9"/>
      <c r="K108" s="43"/>
      <c r="L108" s="9"/>
      <c r="M108" s="9"/>
      <c r="N108" s="43"/>
      <c r="O108" s="48"/>
      <c r="P108" s="48"/>
      <c r="Q108" s="48"/>
      <c r="R108" s="48"/>
      <c r="S108" s="48"/>
      <c r="T108" s="48"/>
      <c r="U108" s="48"/>
      <c r="V108" s="48"/>
      <c r="W108" s="48"/>
      <c r="X108" s="48"/>
      <c r="Y108" s="48"/>
      <c r="Z108" s="48"/>
      <c r="AA108" s="48"/>
      <c r="AB108" s="48"/>
      <c r="AC108" s="48"/>
      <c r="AD108" s="48"/>
      <c r="AE108" s="48"/>
      <c r="AF108" s="48"/>
      <c r="AG108" s="48"/>
      <c r="AH108" s="48"/>
      <c r="AI108" s="48"/>
      <c r="AJ108" s="48"/>
    </row>
    <row r="109" customFormat="false" ht="15" hidden="false" customHeight="false" outlineLevel="0" collapsed="false">
      <c r="A109" s="8"/>
      <c r="B109" s="42"/>
      <c r="C109" s="43"/>
      <c r="D109" s="44"/>
      <c r="E109" s="44"/>
      <c r="F109" s="45"/>
      <c r="G109" s="46"/>
      <c r="H109" s="47"/>
      <c r="I109" s="9"/>
      <c r="J109" s="9"/>
      <c r="K109" s="43"/>
      <c r="L109" s="9"/>
      <c r="M109" s="9"/>
      <c r="N109" s="43"/>
      <c r="O109" s="48"/>
      <c r="P109" s="48"/>
      <c r="Q109" s="48"/>
      <c r="R109" s="48"/>
      <c r="S109" s="48"/>
      <c r="T109" s="48"/>
      <c r="U109" s="48"/>
      <c r="V109" s="48"/>
      <c r="W109" s="48"/>
      <c r="X109" s="48"/>
      <c r="Y109" s="48"/>
      <c r="Z109" s="48"/>
      <c r="AA109" s="48"/>
      <c r="AB109" s="48"/>
      <c r="AC109" s="48"/>
      <c r="AD109" s="48"/>
      <c r="AE109" s="48"/>
      <c r="AF109" s="48"/>
      <c r="AG109" s="48"/>
      <c r="AH109" s="48"/>
      <c r="AI109" s="48"/>
      <c r="AJ109" s="48"/>
    </row>
    <row r="110" customFormat="false" ht="15" hidden="false" customHeight="false" outlineLevel="0" collapsed="false">
      <c r="A110" s="8"/>
      <c r="B110" s="42"/>
      <c r="C110" s="43"/>
      <c r="D110" s="44"/>
      <c r="E110" s="44"/>
      <c r="F110" s="45"/>
      <c r="G110" s="46"/>
      <c r="H110" s="47"/>
      <c r="I110" s="9"/>
      <c r="J110" s="9"/>
      <c r="K110" s="43"/>
      <c r="L110" s="9"/>
      <c r="M110" s="9"/>
      <c r="N110" s="43"/>
      <c r="O110" s="48"/>
      <c r="P110" s="48"/>
      <c r="Q110" s="48"/>
      <c r="R110" s="48"/>
      <c r="S110" s="48"/>
      <c r="T110" s="48"/>
      <c r="U110" s="48"/>
      <c r="V110" s="48"/>
      <c r="W110" s="48"/>
      <c r="X110" s="48"/>
      <c r="Y110" s="48"/>
      <c r="Z110" s="48"/>
      <c r="AA110" s="48"/>
      <c r="AB110" s="48"/>
      <c r="AC110" s="48"/>
      <c r="AD110" s="48"/>
      <c r="AE110" s="48"/>
      <c r="AF110" s="48"/>
      <c r="AG110" s="48"/>
      <c r="AH110" s="48"/>
      <c r="AI110" s="48"/>
      <c r="AJ110" s="48"/>
    </row>
    <row r="111" customFormat="false" ht="15" hidden="false" customHeight="false" outlineLevel="0" collapsed="false">
      <c r="A111" s="8"/>
      <c r="B111" s="42"/>
      <c r="C111" s="43"/>
      <c r="D111" s="44"/>
      <c r="E111" s="44"/>
      <c r="F111" s="45"/>
      <c r="G111" s="46"/>
      <c r="H111" s="47"/>
      <c r="I111" s="9"/>
      <c r="J111" s="9"/>
      <c r="K111" s="43"/>
      <c r="L111" s="9"/>
      <c r="M111" s="9"/>
      <c r="N111" s="43"/>
      <c r="O111" s="48"/>
      <c r="P111" s="48"/>
      <c r="Q111" s="48"/>
      <c r="R111" s="48"/>
      <c r="S111" s="48"/>
      <c r="T111" s="48"/>
      <c r="U111" s="48"/>
      <c r="V111" s="48"/>
      <c r="W111" s="48"/>
      <c r="X111" s="48"/>
      <c r="Y111" s="48"/>
      <c r="Z111" s="48"/>
      <c r="AA111" s="48"/>
      <c r="AB111" s="48"/>
      <c r="AC111" s="48"/>
      <c r="AD111" s="48"/>
      <c r="AE111" s="48"/>
      <c r="AF111" s="48"/>
      <c r="AG111" s="48"/>
      <c r="AH111" s="48"/>
      <c r="AI111" s="48"/>
      <c r="AJ111" s="48"/>
    </row>
    <row r="112" customFormat="false" ht="15" hidden="false" customHeight="false" outlineLevel="0" collapsed="false">
      <c r="A112" s="8"/>
      <c r="B112" s="42"/>
      <c r="C112" s="43"/>
      <c r="D112" s="44"/>
      <c r="E112" s="44"/>
      <c r="F112" s="45"/>
      <c r="G112" s="46"/>
      <c r="H112" s="47"/>
      <c r="I112" s="9"/>
      <c r="J112" s="9"/>
      <c r="K112" s="43"/>
      <c r="L112" s="9"/>
      <c r="M112" s="9"/>
      <c r="N112" s="43"/>
      <c r="O112" s="48"/>
      <c r="P112" s="48"/>
      <c r="Q112" s="48"/>
      <c r="R112" s="48"/>
      <c r="S112" s="48"/>
      <c r="T112" s="48"/>
      <c r="U112" s="48"/>
      <c r="V112" s="48"/>
      <c r="W112" s="48"/>
      <c r="X112" s="48"/>
      <c r="Y112" s="48"/>
      <c r="Z112" s="48"/>
      <c r="AA112" s="48"/>
      <c r="AB112" s="48"/>
      <c r="AC112" s="48"/>
      <c r="AD112" s="48"/>
      <c r="AE112" s="48"/>
      <c r="AF112" s="48"/>
      <c r="AG112" s="48"/>
      <c r="AH112" s="48"/>
      <c r="AI112" s="48"/>
      <c r="AJ112" s="48"/>
    </row>
    <row r="113" customFormat="false" ht="15" hidden="false" customHeight="false" outlineLevel="0" collapsed="false">
      <c r="A113" s="8"/>
      <c r="B113" s="42"/>
      <c r="C113" s="43"/>
      <c r="D113" s="44"/>
      <c r="E113" s="44"/>
      <c r="F113" s="45"/>
      <c r="G113" s="46"/>
      <c r="H113" s="47"/>
      <c r="I113" s="9"/>
      <c r="J113" s="9"/>
      <c r="K113" s="43"/>
      <c r="L113" s="9"/>
      <c r="M113" s="9"/>
      <c r="N113" s="43"/>
      <c r="O113" s="48"/>
      <c r="P113" s="48"/>
      <c r="Q113" s="48"/>
      <c r="R113" s="48"/>
      <c r="S113" s="48"/>
      <c r="T113" s="48"/>
      <c r="U113" s="48"/>
      <c r="V113" s="48"/>
      <c r="W113" s="48"/>
      <c r="X113" s="48"/>
      <c r="Y113" s="48"/>
      <c r="Z113" s="48"/>
      <c r="AA113" s="48"/>
      <c r="AB113" s="48"/>
      <c r="AC113" s="48"/>
      <c r="AD113" s="48"/>
      <c r="AE113" s="48"/>
      <c r="AF113" s="48"/>
      <c r="AG113" s="48"/>
      <c r="AH113" s="48"/>
      <c r="AI113" s="48"/>
      <c r="AJ113" s="48"/>
    </row>
    <row r="114" customFormat="false" ht="15" hidden="false" customHeight="false" outlineLevel="0" collapsed="false">
      <c r="A114" s="8"/>
      <c r="B114" s="42"/>
      <c r="C114" s="43"/>
      <c r="D114" s="44"/>
      <c r="E114" s="44"/>
      <c r="F114" s="45"/>
      <c r="G114" s="46"/>
      <c r="H114" s="47"/>
      <c r="I114" s="9"/>
      <c r="J114" s="9"/>
      <c r="K114" s="43"/>
      <c r="L114" s="9"/>
      <c r="M114" s="9"/>
      <c r="N114" s="43"/>
      <c r="O114" s="48"/>
      <c r="P114" s="48"/>
      <c r="Q114" s="48"/>
      <c r="R114" s="48"/>
      <c r="S114" s="48"/>
      <c r="T114" s="48"/>
      <c r="U114" s="48"/>
      <c r="V114" s="48"/>
      <c r="W114" s="48"/>
      <c r="X114" s="48"/>
      <c r="Y114" s="48"/>
      <c r="Z114" s="48"/>
      <c r="AA114" s="48"/>
      <c r="AB114" s="48"/>
      <c r="AC114" s="48"/>
      <c r="AD114" s="48"/>
      <c r="AE114" s="48"/>
      <c r="AF114" s="48"/>
      <c r="AG114" s="48"/>
      <c r="AH114" s="48"/>
      <c r="AI114" s="48"/>
      <c r="AJ114" s="48"/>
    </row>
    <row r="115" customFormat="false" ht="15" hidden="false" customHeight="false" outlineLevel="0" collapsed="false">
      <c r="A115" s="8"/>
      <c r="B115" s="42"/>
      <c r="C115" s="43"/>
      <c r="D115" s="44"/>
      <c r="E115" s="44"/>
      <c r="F115" s="45"/>
      <c r="G115" s="46"/>
      <c r="H115" s="47"/>
      <c r="I115" s="9"/>
      <c r="J115" s="9"/>
      <c r="K115" s="43"/>
      <c r="L115" s="9"/>
      <c r="M115" s="9"/>
      <c r="N115" s="43"/>
      <c r="O115" s="48"/>
      <c r="P115" s="48"/>
      <c r="Q115" s="48"/>
      <c r="R115" s="48"/>
      <c r="S115" s="48"/>
      <c r="T115" s="48"/>
      <c r="U115" s="48"/>
      <c r="V115" s="48"/>
      <c r="W115" s="48"/>
      <c r="X115" s="48"/>
      <c r="Y115" s="48"/>
      <c r="Z115" s="48"/>
      <c r="AA115" s="48"/>
      <c r="AB115" s="48"/>
      <c r="AC115" s="48"/>
      <c r="AD115" s="48"/>
      <c r="AE115" s="48"/>
      <c r="AF115" s="48"/>
      <c r="AG115" s="48"/>
      <c r="AH115" s="48"/>
      <c r="AI115" s="48"/>
      <c r="AJ115" s="48"/>
    </row>
    <row r="116" customFormat="false" ht="15" hidden="false" customHeight="false" outlineLevel="0" collapsed="false">
      <c r="A116" s="8"/>
      <c r="B116" s="42"/>
      <c r="C116" s="43"/>
      <c r="D116" s="44"/>
      <c r="E116" s="44"/>
      <c r="F116" s="45"/>
      <c r="G116" s="46"/>
      <c r="H116" s="47"/>
      <c r="I116" s="9"/>
      <c r="J116" s="9"/>
      <c r="K116" s="43"/>
      <c r="L116" s="9"/>
      <c r="M116" s="9"/>
      <c r="N116" s="43"/>
      <c r="O116" s="48"/>
      <c r="P116" s="48"/>
      <c r="Q116" s="48"/>
      <c r="R116" s="48"/>
      <c r="S116" s="48"/>
      <c r="T116" s="48"/>
      <c r="U116" s="48"/>
      <c r="V116" s="48"/>
      <c r="W116" s="48"/>
      <c r="X116" s="48"/>
      <c r="Y116" s="48"/>
      <c r="Z116" s="48"/>
      <c r="AA116" s="48"/>
      <c r="AB116" s="48"/>
      <c r="AC116" s="48"/>
      <c r="AD116" s="48"/>
      <c r="AE116" s="48"/>
      <c r="AF116" s="48"/>
      <c r="AG116" s="48"/>
      <c r="AH116" s="48"/>
      <c r="AI116" s="48"/>
      <c r="AJ116" s="48"/>
    </row>
    <row r="117" customFormat="false" ht="15" hidden="false" customHeight="false" outlineLevel="0" collapsed="false">
      <c r="A117" s="8"/>
      <c r="B117" s="42"/>
      <c r="C117" s="43"/>
      <c r="D117" s="44"/>
      <c r="E117" s="44"/>
      <c r="F117" s="45"/>
      <c r="G117" s="46"/>
      <c r="H117" s="47"/>
      <c r="I117" s="9"/>
      <c r="J117" s="9"/>
      <c r="K117" s="43"/>
      <c r="L117" s="9"/>
      <c r="M117" s="9"/>
      <c r="N117" s="43"/>
      <c r="O117" s="48"/>
      <c r="P117" s="48"/>
      <c r="Q117" s="48"/>
      <c r="R117" s="48"/>
      <c r="S117" s="48"/>
      <c r="T117" s="48"/>
      <c r="U117" s="48"/>
      <c r="V117" s="48"/>
      <c r="W117" s="48"/>
      <c r="X117" s="48"/>
      <c r="Y117" s="48"/>
      <c r="Z117" s="48"/>
      <c r="AA117" s="48"/>
      <c r="AB117" s="48"/>
      <c r="AC117" s="48"/>
      <c r="AD117" s="48"/>
      <c r="AE117" s="48"/>
      <c r="AF117" s="48"/>
      <c r="AG117" s="48"/>
      <c r="AH117" s="48"/>
      <c r="AI117" s="48"/>
      <c r="AJ117" s="48"/>
    </row>
    <row r="118" customFormat="false" ht="15" hidden="false" customHeight="false" outlineLevel="0" collapsed="false">
      <c r="A118" s="8"/>
      <c r="B118" s="42"/>
      <c r="C118" s="43"/>
      <c r="D118" s="44"/>
      <c r="E118" s="44"/>
      <c r="F118" s="45"/>
      <c r="G118" s="46"/>
      <c r="H118" s="47"/>
      <c r="I118" s="9"/>
      <c r="J118" s="9"/>
      <c r="K118" s="43"/>
      <c r="L118" s="9"/>
      <c r="M118" s="9"/>
      <c r="N118" s="43"/>
      <c r="O118" s="48"/>
      <c r="P118" s="48"/>
      <c r="Q118" s="48"/>
      <c r="R118" s="48"/>
      <c r="S118" s="48"/>
      <c r="T118" s="48"/>
      <c r="U118" s="48"/>
      <c r="V118" s="48"/>
      <c r="W118" s="48"/>
      <c r="X118" s="48"/>
      <c r="Y118" s="48"/>
      <c r="Z118" s="48"/>
      <c r="AA118" s="48"/>
      <c r="AB118" s="48"/>
      <c r="AC118" s="48"/>
      <c r="AD118" s="48"/>
      <c r="AE118" s="48"/>
      <c r="AF118" s="48"/>
      <c r="AG118" s="48"/>
      <c r="AH118" s="48"/>
      <c r="AI118" s="48"/>
      <c r="AJ118" s="48"/>
    </row>
    <row r="119" customFormat="false" ht="15" hidden="false" customHeight="false" outlineLevel="0" collapsed="false">
      <c r="A119" s="8"/>
      <c r="B119" s="42"/>
      <c r="C119" s="43"/>
      <c r="D119" s="44"/>
      <c r="E119" s="44"/>
      <c r="F119" s="45"/>
      <c r="G119" s="46"/>
      <c r="H119" s="47"/>
      <c r="I119" s="9"/>
      <c r="J119" s="9"/>
      <c r="K119" s="43"/>
      <c r="L119" s="9"/>
      <c r="M119" s="9"/>
      <c r="N119" s="43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</row>
    <row r="120" customFormat="false" ht="15" hidden="false" customHeight="false" outlineLevel="0" collapsed="false">
      <c r="A120" s="8"/>
      <c r="B120" s="42"/>
      <c r="C120" s="43"/>
      <c r="D120" s="44"/>
      <c r="E120" s="44"/>
      <c r="F120" s="45"/>
      <c r="G120" s="46"/>
      <c r="H120" s="47"/>
      <c r="I120" s="9"/>
      <c r="J120" s="9"/>
      <c r="K120" s="43"/>
      <c r="L120" s="9"/>
      <c r="M120" s="9"/>
      <c r="N120" s="43"/>
      <c r="O120" s="48"/>
      <c r="P120" s="48"/>
      <c r="Q120" s="48"/>
      <c r="R120" s="48"/>
      <c r="S120" s="48"/>
      <c r="T120" s="48"/>
      <c r="U120" s="48"/>
      <c r="V120" s="48"/>
      <c r="W120" s="48"/>
      <c r="X120" s="48"/>
      <c r="Y120" s="48"/>
      <c r="Z120" s="48"/>
      <c r="AA120" s="48"/>
      <c r="AB120" s="48"/>
      <c r="AC120" s="48"/>
      <c r="AD120" s="48"/>
      <c r="AE120" s="48"/>
      <c r="AF120" s="48"/>
      <c r="AG120" s="48"/>
      <c r="AH120" s="48"/>
      <c r="AI120" s="48"/>
      <c r="AJ120" s="48"/>
    </row>
    <row r="121" customFormat="false" ht="15" hidden="false" customHeight="false" outlineLevel="0" collapsed="false">
      <c r="A121" s="8"/>
      <c r="B121" s="42"/>
      <c r="C121" s="43"/>
      <c r="D121" s="44"/>
      <c r="E121" s="44"/>
      <c r="F121" s="45"/>
      <c r="G121" s="46"/>
      <c r="H121" s="47"/>
      <c r="I121" s="9"/>
      <c r="J121" s="9"/>
      <c r="K121" s="43"/>
      <c r="L121" s="9"/>
      <c r="M121" s="9"/>
      <c r="N121" s="43"/>
      <c r="O121" s="48"/>
      <c r="P121" s="48"/>
      <c r="Q121" s="48"/>
      <c r="R121" s="48"/>
      <c r="S121" s="48"/>
      <c r="T121" s="48"/>
      <c r="U121" s="48"/>
      <c r="V121" s="48"/>
      <c r="W121" s="48"/>
      <c r="X121" s="48"/>
      <c r="Y121" s="48"/>
      <c r="Z121" s="48"/>
      <c r="AA121" s="48"/>
      <c r="AB121" s="48"/>
      <c r="AC121" s="48"/>
      <c r="AD121" s="48"/>
      <c r="AE121" s="48"/>
      <c r="AF121" s="48"/>
      <c r="AG121" s="48"/>
      <c r="AH121" s="48"/>
      <c r="AI121" s="48"/>
      <c r="AJ121" s="48"/>
    </row>
    <row r="122" customFormat="false" ht="15" hidden="false" customHeight="false" outlineLevel="0" collapsed="false">
      <c r="A122" s="8"/>
      <c r="B122" s="42"/>
      <c r="C122" s="43"/>
      <c r="D122" s="44"/>
      <c r="E122" s="44"/>
      <c r="F122" s="45"/>
      <c r="G122" s="46"/>
      <c r="H122" s="47"/>
      <c r="I122" s="9"/>
      <c r="J122" s="9"/>
      <c r="K122" s="43"/>
      <c r="L122" s="9"/>
      <c r="M122" s="9"/>
      <c r="N122" s="43"/>
      <c r="O122" s="48"/>
      <c r="P122" s="48"/>
      <c r="Q122" s="48"/>
      <c r="R122" s="48"/>
      <c r="S122" s="48"/>
      <c r="T122" s="48"/>
      <c r="U122" s="48"/>
      <c r="V122" s="48"/>
      <c r="W122" s="48"/>
      <c r="X122" s="48"/>
      <c r="Y122" s="48"/>
      <c r="Z122" s="48"/>
      <c r="AA122" s="48"/>
      <c r="AB122" s="48"/>
      <c r="AC122" s="48"/>
      <c r="AD122" s="48"/>
      <c r="AE122" s="48"/>
      <c r="AF122" s="48"/>
      <c r="AG122" s="48"/>
      <c r="AH122" s="48"/>
      <c r="AI122" s="48"/>
      <c r="AJ122" s="48"/>
    </row>
    <row r="123" customFormat="false" ht="15" hidden="false" customHeight="false" outlineLevel="0" collapsed="false">
      <c r="A123" s="8"/>
      <c r="B123" s="42"/>
      <c r="C123" s="43"/>
      <c r="D123" s="44"/>
      <c r="E123" s="44"/>
      <c r="F123" s="45"/>
      <c r="G123" s="46"/>
      <c r="H123" s="47"/>
      <c r="I123" s="9"/>
      <c r="J123" s="9"/>
      <c r="K123" s="43"/>
      <c r="L123" s="9"/>
      <c r="M123" s="9"/>
      <c r="N123" s="43"/>
      <c r="O123" s="48"/>
      <c r="P123" s="48"/>
      <c r="Q123" s="48"/>
      <c r="R123" s="48"/>
      <c r="S123" s="48"/>
      <c r="T123" s="48"/>
      <c r="U123" s="48"/>
      <c r="V123" s="48"/>
      <c r="W123" s="48"/>
      <c r="X123" s="48"/>
      <c r="Y123" s="48"/>
      <c r="Z123" s="48"/>
      <c r="AA123" s="48"/>
      <c r="AB123" s="48"/>
      <c r="AC123" s="48"/>
      <c r="AD123" s="48"/>
      <c r="AE123" s="48"/>
      <c r="AF123" s="48"/>
      <c r="AG123" s="48"/>
      <c r="AH123" s="48"/>
      <c r="AI123" s="48"/>
      <c r="AJ123" s="48"/>
    </row>
    <row r="124" customFormat="false" ht="15" hidden="false" customHeight="false" outlineLevel="0" collapsed="false">
      <c r="A124" s="8"/>
      <c r="B124" s="42"/>
      <c r="C124" s="43"/>
      <c r="D124" s="44"/>
      <c r="E124" s="44"/>
      <c r="F124" s="45"/>
      <c r="G124" s="46"/>
      <c r="H124" s="47"/>
      <c r="I124" s="9"/>
      <c r="J124" s="9"/>
      <c r="K124" s="43"/>
      <c r="L124" s="9"/>
      <c r="M124" s="9"/>
      <c r="N124" s="43"/>
      <c r="O124" s="48"/>
      <c r="P124" s="48"/>
      <c r="Q124" s="48"/>
      <c r="R124" s="48"/>
      <c r="S124" s="48"/>
      <c r="T124" s="48"/>
      <c r="U124" s="48"/>
      <c r="V124" s="48"/>
      <c r="W124" s="48"/>
      <c r="X124" s="48"/>
      <c r="Y124" s="48"/>
      <c r="Z124" s="48"/>
      <c r="AA124" s="48"/>
      <c r="AB124" s="48"/>
      <c r="AC124" s="48"/>
      <c r="AD124" s="48"/>
      <c r="AE124" s="48"/>
      <c r="AF124" s="48"/>
      <c r="AG124" s="48"/>
      <c r="AH124" s="48"/>
      <c r="AI124" s="48"/>
      <c r="AJ124" s="48"/>
    </row>
    <row r="125" customFormat="false" ht="15" hidden="false" customHeight="false" outlineLevel="0" collapsed="false">
      <c r="A125" s="8"/>
      <c r="B125" s="42"/>
      <c r="C125" s="43"/>
      <c r="D125" s="44"/>
      <c r="E125" s="44"/>
      <c r="F125" s="45"/>
      <c r="G125" s="46"/>
      <c r="H125" s="47"/>
      <c r="I125" s="9"/>
      <c r="J125" s="9"/>
      <c r="K125" s="43"/>
      <c r="L125" s="9"/>
      <c r="M125" s="9"/>
      <c r="N125" s="43"/>
      <c r="O125" s="48"/>
      <c r="P125" s="48"/>
      <c r="Q125" s="48"/>
      <c r="R125" s="48"/>
      <c r="S125" s="48"/>
      <c r="T125" s="48"/>
      <c r="U125" s="48"/>
      <c r="V125" s="48"/>
      <c r="W125" s="48"/>
      <c r="X125" s="48"/>
      <c r="Y125" s="48"/>
      <c r="Z125" s="48"/>
      <c r="AA125" s="48"/>
      <c r="AB125" s="48"/>
      <c r="AC125" s="48"/>
      <c r="AD125" s="48"/>
      <c r="AE125" s="48"/>
      <c r="AF125" s="48"/>
      <c r="AG125" s="48"/>
      <c r="AH125" s="48"/>
      <c r="AI125" s="48"/>
      <c r="AJ125" s="48"/>
    </row>
    <row r="126" customFormat="false" ht="15" hidden="false" customHeight="false" outlineLevel="0" collapsed="false">
      <c r="A126" s="8"/>
      <c r="B126" s="42"/>
      <c r="C126" s="43"/>
      <c r="D126" s="44"/>
      <c r="E126" s="44"/>
      <c r="F126" s="45"/>
      <c r="G126" s="46"/>
      <c r="H126" s="47"/>
      <c r="I126" s="9"/>
      <c r="J126" s="9"/>
      <c r="K126" s="43"/>
      <c r="L126" s="9"/>
      <c r="M126" s="9"/>
      <c r="N126" s="43"/>
      <c r="O126" s="48"/>
      <c r="P126" s="48"/>
      <c r="Q126" s="48"/>
      <c r="R126" s="48"/>
      <c r="S126" s="48"/>
      <c r="T126" s="48"/>
      <c r="U126" s="48"/>
      <c r="V126" s="48"/>
      <c r="W126" s="48"/>
      <c r="X126" s="48"/>
      <c r="Y126" s="48"/>
      <c r="Z126" s="48"/>
      <c r="AA126" s="48"/>
      <c r="AB126" s="48"/>
      <c r="AC126" s="48"/>
      <c r="AD126" s="48"/>
      <c r="AE126" s="48"/>
      <c r="AF126" s="48"/>
      <c r="AG126" s="48"/>
      <c r="AH126" s="48"/>
      <c r="AI126" s="48"/>
      <c r="AJ126" s="48"/>
    </row>
    <row r="127" customFormat="false" ht="15" hidden="false" customHeight="false" outlineLevel="0" collapsed="false">
      <c r="A127" s="8"/>
      <c r="B127" s="42"/>
      <c r="C127" s="43"/>
      <c r="D127" s="44"/>
      <c r="E127" s="44"/>
      <c r="F127" s="45"/>
      <c r="G127" s="46"/>
      <c r="H127" s="47"/>
      <c r="I127" s="9"/>
      <c r="J127" s="9"/>
      <c r="K127" s="43"/>
      <c r="L127" s="9"/>
      <c r="M127" s="9"/>
      <c r="N127" s="43"/>
      <c r="O127" s="48"/>
      <c r="P127" s="48"/>
      <c r="Q127" s="48"/>
      <c r="R127" s="48"/>
      <c r="S127" s="48"/>
      <c r="T127" s="48"/>
      <c r="U127" s="48"/>
      <c r="V127" s="48"/>
      <c r="W127" s="48"/>
      <c r="X127" s="48"/>
      <c r="Y127" s="48"/>
      <c r="Z127" s="48"/>
      <c r="AA127" s="48"/>
      <c r="AB127" s="48"/>
      <c r="AC127" s="48"/>
      <c r="AD127" s="48"/>
      <c r="AE127" s="48"/>
      <c r="AF127" s="48"/>
      <c r="AG127" s="48"/>
      <c r="AH127" s="48"/>
      <c r="AI127" s="48"/>
      <c r="AJ127" s="48"/>
    </row>
    <row r="128" customFormat="false" ht="15" hidden="false" customHeight="false" outlineLevel="0" collapsed="false">
      <c r="A128" s="8"/>
      <c r="B128" s="42"/>
      <c r="C128" s="43"/>
      <c r="D128" s="44"/>
      <c r="E128" s="44"/>
      <c r="F128" s="45"/>
      <c r="G128" s="46"/>
      <c r="H128" s="47"/>
      <c r="I128" s="9"/>
      <c r="J128" s="9"/>
      <c r="K128" s="43"/>
      <c r="L128" s="9"/>
      <c r="M128" s="9"/>
      <c r="N128" s="43"/>
      <c r="O128" s="48"/>
      <c r="P128" s="48"/>
      <c r="Q128" s="48"/>
      <c r="R128" s="48"/>
      <c r="S128" s="48"/>
      <c r="T128" s="48"/>
      <c r="U128" s="48"/>
      <c r="V128" s="48"/>
      <c r="W128" s="48"/>
      <c r="X128" s="48"/>
      <c r="Y128" s="48"/>
      <c r="Z128" s="48"/>
      <c r="AA128" s="48"/>
      <c r="AB128" s="48"/>
      <c r="AC128" s="48"/>
      <c r="AD128" s="48"/>
      <c r="AE128" s="48"/>
      <c r="AF128" s="48"/>
      <c r="AG128" s="48"/>
      <c r="AH128" s="48"/>
      <c r="AI128" s="48"/>
      <c r="AJ128" s="48"/>
    </row>
    <row r="129" customFormat="false" ht="15" hidden="false" customHeight="false" outlineLevel="0" collapsed="false">
      <c r="A129" s="8"/>
      <c r="B129" s="42"/>
      <c r="C129" s="43"/>
      <c r="D129" s="44"/>
      <c r="E129" s="44"/>
      <c r="F129" s="45"/>
      <c r="G129" s="46"/>
      <c r="H129" s="47"/>
      <c r="I129" s="9"/>
      <c r="J129" s="9"/>
      <c r="K129" s="43"/>
      <c r="L129" s="9"/>
      <c r="M129" s="9"/>
      <c r="N129" s="43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</row>
    <row r="130" customFormat="false" ht="15" hidden="false" customHeight="false" outlineLevel="0" collapsed="false">
      <c r="A130" s="8"/>
      <c r="B130" s="42"/>
      <c r="C130" s="43"/>
      <c r="D130" s="44"/>
      <c r="E130" s="44"/>
      <c r="F130" s="45"/>
      <c r="G130" s="46"/>
      <c r="H130" s="47"/>
      <c r="I130" s="9"/>
      <c r="J130" s="9"/>
      <c r="K130" s="43"/>
      <c r="L130" s="9"/>
      <c r="M130" s="9"/>
      <c r="N130" s="43"/>
      <c r="O130" s="48"/>
      <c r="P130" s="48"/>
      <c r="Q130" s="48"/>
      <c r="R130" s="48"/>
      <c r="S130" s="48"/>
      <c r="T130" s="48"/>
      <c r="U130" s="48"/>
      <c r="V130" s="48"/>
      <c r="W130" s="48"/>
      <c r="X130" s="48"/>
      <c r="Y130" s="48"/>
      <c r="Z130" s="48"/>
      <c r="AA130" s="48"/>
      <c r="AB130" s="48"/>
      <c r="AC130" s="48"/>
      <c r="AD130" s="48"/>
      <c r="AE130" s="48"/>
      <c r="AF130" s="48"/>
      <c r="AG130" s="48"/>
      <c r="AH130" s="48"/>
      <c r="AI130" s="48"/>
      <c r="AJ130" s="48"/>
    </row>
    <row r="131" customFormat="false" ht="15" hidden="false" customHeight="false" outlineLevel="0" collapsed="false">
      <c r="A131" s="8"/>
      <c r="B131" s="42"/>
      <c r="C131" s="43"/>
      <c r="D131" s="44"/>
      <c r="E131" s="44"/>
      <c r="F131" s="45"/>
      <c r="G131" s="46"/>
      <c r="H131" s="47"/>
      <c r="I131" s="9"/>
      <c r="J131" s="9"/>
      <c r="K131" s="43"/>
      <c r="L131" s="9"/>
      <c r="M131" s="9"/>
      <c r="N131" s="43"/>
      <c r="O131" s="48"/>
      <c r="P131" s="48"/>
      <c r="Q131" s="48"/>
      <c r="R131" s="48"/>
      <c r="S131" s="48"/>
      <c r="T131" s="48"/>
      <c r="U131" s="48"/>
      <c r="V131" s="48"/>
      <c r="W131" s="48"/>
      <c r="X131" s="48"/>
      <c r="Y131" s="48"/>
      <c r="Z131" s="48"/>
      <c r="AA131" s="48"/>
      <c r="AB131" s="48"/>
      <c r="AC131" s="48"/>
      <c r="AD131" s="48"/>
      <c r="AE131" s="48"/>
      <c r="AF131" s="48"/>
      <c r="AG131" s="48"/>
      <c r="AH131" s="48"/>
      <c r="AI131" s="48"/>
      <c r="AJ131" s="48"/>
    </row>
    <row r="132" customFormat="false" ht="15" hidden="false" customHeight="false" outlineLevel="0" collapsed="false">
      <c r="A132" s="8"/>
      <c r="B132" s="42"/>
      <c r="C132" s="43"/>
      <c r="D132" s="44"/>
      <c r="E132" s="44"/>
      <c r="F132" s="45"/>
      <c r="G132" s="46"/>
      <c r="H132" s="47"/>
      <c r="I132" s="9"/>
      <c r="J132" s="9"/>
      <c r="K132" s="43"/>
      <c r="L132" s="9"/>
      <c r="M132" s="9"/>
      <c r="N132" s="43"/>
      <c r="O132" s="48"/>
      <c r="P132" s="48"/>
      <c r="Q132" s="48"/>
      <c r="R132" s="48"/>
      <c r="S132" s="48"/>
      <c r="T132" s="48"/>
      <c r="U132" s="48"/>
      <c r="V132" s="48"/>
      <c r="W132" s="48"/>
      <c r="X132" s="48"/>
      <c r="Y132" s="48"/>
      <c r="Z132" s="48"/>
      <c r="AA132" s="48"/>
      <c r="AB132" s="48"/>
      <c r="AC132" s="48"/>
      <c r="AD132" s="48"/>
      <c r="AE132" s="48"/>
      <c r="AF132" s="48"/>
      <c r="AG132" s="48"/>
      <c r="AH132" s="48"/>
      <c r="AI132" s="48"/>
      <c r="AJ132" s="48"/>
    </row>
    <row r="133" customFormat="false" ht="15" hidden="false" customHeight="false" outlineLevel="0" collapsed="false">
      <c r="A133" s="8"/>
      <c r="B133" s="42"/>
      <c r="C133" s="43"/>
      <c r="D133" s="44"/>
      <c r="E133" s="44"/>
      <c r="F133" s="45"/>
      <c r="G133" s="46"/>
      <c r="H133" s="47"/>
      <c r="I133" s="9"/>
      <c r="J133" s="9"/>
      <c r="K133" s="43"/>
      <c r="L133" s="9"/>
      <c r="M133" s="9"/>
      <c r="N133" s="43"/>
      <c r="O133" s="48"/>
      <c r="P133" s="48"/>
      <c r="Q133" s="48"/>
      <c r="R133" s="48"/>
      <c r="S133" s="48"/>
      <c r="T133" s="48"/>
      <c r="U133" s="48"/>
      <c r="V133" s="48"/>
      <c r="W133" s="48"/>
      <c r="X133" s="48"/>
      <c r="Y133" s="48"/>
      <c r="Z133" s="48"/>
      <c r="AA133" s="48"/>
      <c r="AB133" s="48"/>
      <c r="AC133" s="48"/>
      <c r="AD133" s="48"/>
      <c r="AE133" s="48"/>
      <c r="AF133" s="48"/>
      <c r="AG133" s="48"/>
      <c r="AH133" s="48"/>
      <c r="AI133" s="48"/>
      <c r="AJ133" s="48"/>
    </row>
    <row r="134" customFormat="false" ht="15" hidden="false" customHeight="false" outlineLevel="0" collapsed="false">
      <c r="A134" s="8"/>
      <c r="B134" s="42"/>
      <c r="C134" s="43"/>
      <c r="D134" s="44"/>
      <c r="E134" s="44"/>
      <c r="F134" s="45"/>
      <c r="G134" s="46"/>
      <c r="H134" s="47"/>
      <c r="I134" s="9"/>
      <c r="J134" s="9"/>
      <c r="K134" s="43"/>
      <c r="L134" s="9"/>
      <c r="M134" s="9"/>
      <c r="N134" s="43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</row>
    <row r="135" customFormat="false" ht="15" hidden="false" customHeight="false" outlineLevel="0" collapsed="false">
      <c r="A135" s="8"/>
      <c r="B135" s="42"/>
      <c r="C135" s="43"/>
      <c r="D135" s="44"/>
      <c r="E135" s="44"/>
      <c r="F135" s="45"/>
      <c r="G135" s="46"/>
      <c r="H135" s="47"/>
      <c r="I135" s="9"/>
      <c r="J135" s="9"/>
      <c r="K135" s="43"/>
      <c r="L135" s="9"/>
      <c r="M135" s="9"/>
      <c r="N135" s="43"/>
      <c r="O135" s="48"/>
      <c r="P135" s="48"/>
      <c r="Q135" s="48"/>
      <c r="R135" s="48"/>
      <c r="S135" s="48"/>
      <c r="T135" s="48"/>
      <c r="U135" s="48"/>
      <c r="V135" s="48"/>
      <c r="W135" s="48"/>
      <c r="X135" s="48"/>
      <c r="Y135" s="48"/>
      <c r="Z135" s="48"/>
      <c r="AA135" s="48"/>
      <c r="AB135" s="48"/>
      <c r="AC135" s="48"/>
      <c r="AD135" s="48"/>
      <c r="AE135" s="48"/>
      <c r="AF135" s="48"/>
      <c r="AG135" s="48"/>
      <c r="AH135" s="48"/>
      <c r="AI135" s="48"/>
      <c r="AJ135" s="48"/>
    </row>
    <row r="136" customFormat="false" ht="15" hidden="false" customHeight="false" outlineLevel="0" collapsed="false">
      <c r="A136" s="8"/>
      <c r="B136" s="42"/>
      <c r="C136" s="43"/>
      <c r="D136" s="44"/>
      <c r="E136" s="44"/>
      <c r="F136" s="45"/>
      <c r="G136" s="46"/>
      <c r="H136" s="47"/>
      <c r="I136" s="9"/>
      <c r="J136" s="9"/>
      <c r="K136" s="43"/>
      <c r="L136" s="9"/>
      <c r="M136" s="9"/>
      <c r="N136" s="43"/>
      <c r="O136" s="48"/>
      <c r="P136" s="48"/>
      <c r="Q136" s="48"/>
      <c r="R136" s="48"/>
      <c r="S136" s="48"/>
      <c r="T136" s="48"/>
      <c r="U136" s="48"/>
      <c r="V136" s="48"/>
      <c r="W136" s="48"/>
      <c r="X136" s="48"/>
      <c r="Y136" s="48"/>
      <c r="Z136" s="48"/>
      <c r="AA136" s="48"/>
      <c r="AB136" s="48"/>
      <c r="AC136" s="48"/>
      <c r="AD136" s="48"/>
      <c r="AE136" s="48"/>
      <c r="AF136" s="48"/>
      <c r="AG136" s="48"/>
      <c r="AH136" s="48"/>
      <c r="AI136" s="48"/>
      <c r="AJ136" s="48"/>
    </row>
    <row r="137" customFormat="false" ht="15" hidden="false" customHeight="false" outlineLevel="0" collapsed="false">
      <c r="A137" s="8"/>
      <c r="B137" s="42"/>
      <c r="C137" s="43"/>
      <c r="D137" s="44"/>
      <c r="E137" s="44"/>
      <c r="F137" s="45"/>
      <c r="G137" s="46"/>
      <c r="H137" s="47"/>
      <c r="I137" s="9"/>
      <c r="J137" s="9"/>
      <c r="K137" s="43"/>
      <c r="L137" s="9"/>
      <c r="M137" s="9"/>
      <c r="N137" s="43"/>
      <c r="O137" s="48"/>
      <c r="P137" s="48"/>
      <c r="Q137" s="48"/>
      <c r="R137" s="48"/>
      <c r="S137" s="48"/>
      <c r="T137" s="48"/>
      <c r="U137" s="48"/>
      <c r="V137" s="48"/>
      <c r="W137" s="48"/>
      <c r="X137" s="48"/>
      <c r="Y137" s="48"/>
      <c r="Z137" s="48"/>
      <c r="AA137" s="48"/>
      <c r="AB137" s="48"/>
      <c r="AC137" s="48"/>
      <c r="AD137" s="48"/>
      <c r="AE137" s="48"/>
      <c r="AF137" s="48"/>
      <c r="AG137" s="48"/>
      <c r="AH137" s="48"/>
      <c r="AI137" s="48"/>
      <c r="AJ137" s="48"/>
    </row>
    <row r="138" customFormat="false" ht="15" hidden="false" customHeight="false" outlineLevel="0" collapsed="false">
      <c r="A138" s="8"/>
      <c r="B138" s="42"/>
      <c r="C138" s="43"/>
      <c r="D138" s="44"/>
      <c r="E138" s="44"/>
      <c r="F138" s="45"/>
      <c r="G138" s="46"/>
      <c r="H138" s="47"/>
      <c r="I138" s="9"/>
      <c r="J138" s="9"/>
      <c r="K138" s="43"/>
      <c r="L138" s="9"/>
      <c r="M138" s="9"/>
      <c r="N138" s="43"/>
      <c r="O138" s="48"/>
      <c r="P138" s="48"/>
      <c r="Q138" s="48"/>
      <c r="R138" s="48"/>
      <c r="S138" s="48"/>
      <c r="T138" s="48"/>
      <c r="U138" s="48"/>
      <c r="V138" s="48"/>
      <c r="W138" s="48"/>
      <c r="X138" s="48"/>
      <c r="Y138" s="48"/>
      <c r="Z138" s="48"/>
      <c r="AA138" s="48"/>
      <c r="AB138" s="48"/>
      <c r="AC138" s="48"/>
      <c r="AD138" s="48"/>
      <c r="AE138" s="48"/>
      <c r="AF138" s="48"/>
      <c r="AG138" s="48"/>
      <c r="AH138" s="48"/>
      <c r="AI138" s="48"/>
      <c r="AJ138" s="48"/>
    </row>
    <row r="139" customFormat="false" ht="15" hidden="false" customHeight="false" outlineLevel="0" collapsed="false">
      <c r="A139" s="8"/>
      <c r="B139" s="42"/>
      <c r="C139" s="43"/>
      <c r="D139" s="44"/>
      <c r="E139" s="44"/>
      <c r="F139" s="45"/>
      <c r="G139" s="46"/>
      <c r="H139" s="47"/>
      <c r="I139" s="9"/>
      <c r="J139" s="9"/>
      <c r="K139" s="43"/>
      <c r="L139" s="9"/>
      <c r="M139" s="9"/>
      <c r="N139" s="43"/>
      <c r="O139" s="48"/>
      <c r="P139" s="48"/>
      <c r="Q139" s="48"/>
      <c r="R139" s="48"/>
      <c r="S139" s="48"/>
      <c r="T139" s="48"/>
      <c r="U139" s="48"/>
      <c r="V139" s="48"/>
      <c r="W139" s="48"/>
      <c r="X139" s="48"/>
      <c r="Y139" s="48"/>
      <c r="Z139" s="48"/>
      <c r="AA139" s="48"/>
      <c r="AB139" s="48"/>
      <c r="AC139" s="48"/>
      <c r="AD139" s="48"/>
      <c r="AE139" s="48"/>
      <c r="AF139" s="48"/>
      <c r="AG139" s="48"/>
      <c r="AH139" s="48"/>
      <c r="AI139" s="48"/>
      <c r="AJ139" s="48"/>
    </row>
    <row r="140" customFormat="false" ht="15" hidden="false" customHeight="false" outlineLevel="0" collapsed="false">
      <c r="A140" s="8"/>
      <c r="B140" s="42"/>
      <c r="C140" s="43"/>
      <c r="D140" s="44"/>
      <c r="E140" s="44"/>
      <c r="F140" s="45"/>
      <c r="G140" s="46"/>
      <c r="H140" s="47"/>
      <c r="I140" s="9"/>
      <c r="J140" s="9"/>
      <c r="K140" s="43"/>
      <c r="L140" s="9"/>
      <c r="M140" s="9"/>
      <c r="N140" s="43"/>
      <c r="O140" s="48"/>
      <c r="P140" s="48"/>
      <c r="Q140" s="48"/>
      <c r="R140" s="48"/>
      <c r="S140" s="48"/>
      <c r="T140" s="48"/>
      <c r="U140" s="48"/>
      <c r="V140" s="48"/>
      <c r="W140" s="48"/>
      <c r="X140" s="48"/>
      <c r="Y140" s="48"/>
      <c r="Z140" s="48"/>
      <c r="AA140" s="48"/>
      <c r="AB140" s="48"/>
      <c r="AC140" s="48"/>
      <c r="AD140" s="48"/>
      <c r="AE140" s="48"/>
      <c r="AF140" s="48"/>
      <c r="AG140" s="48"/>
      <c r="AH140" s="48"/>
      <c r="AI140" s="48"/>
      <c r="AJ140" s="48"/>
    </row>
    <row r="141" customFormat="false" ht="15" hidden="false" customHeight="false" outlineLevel="0" collapsed="false">
      <c r="A141" s="8"/>
      <c r="B141" s="42"/>
      <c r="C141" s="43"/>
      <c r="D141" s="44"/>
      <c r="E141" s="44"/>
      <c r="F141" s="45"/>
      <c r="G141" s="46"/>
      <c r="H141" s="47"/>
      <c r="I141" s="9"/>
      <c r="J141" s="9"/>
      <c r="K141" s="43"/>
      <c r="L141" s="9"/>
      <c r="M141" s="9"/>
      <c r="N141" s="43"/>
      <c r="O141" s="48"/>
      <c r="P141" s="48"/>
      <c r="Q141" s="48"/>
      <c r="R141" s="48"/>
      <c r="S141" s="48"/>
      <c r="T141" s="48"/>
      <c r="U141" s="48"/>
      <c r="V141" s="48"/>
      <c r="W141" s="48"/>
      <c r="X141" s="48"/>
      <c r="Y141" s="48"/>
      <c r="Z141" s="48"/>
      <c r="AA141" s="48"/>
      <c r="AB141" s="48"/>
      <c r="AC141" s="48"/>
      <c r="AD141" s="48"/>
      <c r="AE141" s="48"/>
      <c r="AF141" s="48"/>
      <c r="AG141" s="48"/>
      <c r="AH141" s="48"/>
      <c r="AI141" s="48"/>
      <c r="AJ141" s="48"/>
    </row>
    <row r="142" customFormat="false" ht="15" hidden="false" customHeight="false" outlineLevel="0" collapsed="false">
      <c r="A142" s="8"/>
      <c r="B142" s="42"/>
      <c r="C142" s="43"/>
      <c r="D142" s="44"/>
      <c r="E142" s="44"/>
      <c r="F142" s="45"/>
      <c r="G142" s="46"/>
      <c r="H142" s="47"/>
      <c r="I142" s="9"/>
      <c r="J142" s="9"/>
      <c r="K142" s="43"/>
      <c r="L142" s="9"/>
      <c r="M142" s="9"/>
      <c r="N142" s="43"/>
      <c r="O142" s="48"/>
      <c r="P142" s="48"/>
      <c r="Q142" s="48"/>
      <c r="R142" s="48"/>
      <c r="S142" s="48"/>
      <c r="T142" s="48"/>
      <c r="U142" s="48"/>
      <c r="V142" s="48"/>
      <c r="W142" s="48"/>
      <c r="X142" s="48"/>
      <c r="Y142" s="48"/>
      <c r="Z142" s="48"/>
      <c r="AA142" s="48"/>
      <c r="AB142" s="48"/>
      <c r="AC142" s="48"/>
      <c r="AD142" s="48"/>
      <c r="AE142" s="48"/>
      <c r="AF142" s="48"/>
      <c r="AG142" s="48"/>
      <c r="AH142" s="48"/>
      <c r="AI142" s="48"/>
      <c r="AJ142" s="48"/>
    </row>
    <row r="143" customFormat="false" ht="15" hidden="false" customHeight="false" outlineLevel="0" collapsed="false">
      <c r="A143" s="8"/>
      <c r="B143" s="42"/>
      <c r="C143" s="43"/>
      <c r="D143" s="44"/>
      <c r="E143" s="44"/>
      <c r="F143" s="45"/>
      <c r="G143" s="46"/>
      <c r="H143" s="47"/>
      <c r="I143" s="9"/>
      <c r="J143" s="9"/>
      <c r="K143" s="43"/>
      <c r="L143" s="9"/>
      <c r="M143" s="9"/>
      <c r="N143" s="43"/>
      <c r="O143" s="48"/>
      <c r="P143" s="48"/>
      <c r="Q143" s="48"/>
      <c r="R143" s="48"/>
      <c r="S143" s="48"/>
      <c r="T143" s="48"/>
      <c r="U143" s="48"/>
      <c r="V143" s="48"/>
      <c r="W143" s="48"/>
      <c r="X143" s="48"/>
      <c r="Y143" s="48"/>
      <c r="Z143" s="48"/>
      <c r="AA143" s="48"/>
      <c r="AB143" s="48"/>
      <c r="AC143" s="48"/>
      <c r="AD143" s="48"/>
      <c r="AE143" s="48"/>
      <c r="AF143" s="48"/>
      <c r="AG143" s="48"/>
      <c r="AH143" s="48"/>
      <c r="AI143" s="48"/>
      <c r="AJ143" s="48"/>
    </row>
    <row r="144" customFormat="false" ht="15" hidden="false" customHeight="false" outlineLevel="0" collapsed="false">
      <c r="A144" s="8"/>
      <c r="B144" s="42"/>
      <c r="C144" s="43"/>
      <c r="D144" s="44"/>
      <c r="E144" s="44"/>
      <c r="F144" s="45"/>
      <c r="G144" s="46"/>
      <c r="H144" s="47"/>
      <c r="I144" s="9"/>
      <c r="J144" s="9"/>
      <c r="K144" s="43"/>
      <c r="L144" s="9"/>
      <c r="M144" s="9"/>
      <c r="N144" s="43"/>
      <c r="O144" s="48"/>
      <c r="P144" s="48"/>
      <c r="Q144" s="48"/>
      <c r="R144" s="48"/>
      <c r="S144" s="48"/>
      <c r="T144" s="48"/>
      <c r="U144" s="48"/>
      <c r="V144" s="48"/>
      <c r="W144" s="48"/>
      <c r="X144" s="48"/>
      <c r="Y144" s="48"/>
      <c r="Z144" s="48"/>
      <c r="AA144" s="48"/>
      <c r="AB144" s="48"/>
      <c r="AC144" s="48"/>
      <c r="AD144" s="48"/>
      <c r="AE144" s="48"/>
      <c r="AF144" s="48"/>
      <c r="AG144" s="48"/>
      <c r="AH144" s="48"/>
      <c r="AI144" s="48"/>
      <c r="AJ144" s="48"/>
    </row>
    <row r="145" customFormat="false" ht="15" hidden="false" customHeight="false" outlineLevel="0" collapsed="false">
      <c r="A145" s="8"/>
      <c r="B145" s="42"/>
      <c r="C145" s="43"/>
      <c r="D145" s="44"/>
      <c r="E145" s="44"/>
      <c r="F145" s="45"/>
      <c r="G145" s="46"/>
      <c r="H145" s="47"/>
      <c r="I145" s="9"/>
      <c r="J145" s="9"/>
      <c r="K145" s="43"/>
      <c r="L145" s="9"/>
      <c r="M145" s="9"/>
      <c r="N145" s="43"/>
      <c r="O145" s="48"/>
      <c r="P145" s="48"/>
      <c r="Q145" s="48"/>
      <c r="R145" s="48"/>
      <c r="S145" s="48"/>
      <c r="T145" s="48"/>
      <c r="U145" s="48"/>
      <c r="V145" s="48"/>
      <c r="W145" s="48"/>
      <c r="X145" s="48"/>
      <c r="Y145" s="48"/>
      <c r="Z145" s="48"/>
      <c r="AA145" s="48"/>
      <c r="AB145" s="48"/>
      <c r="AC145" s="48"/>
      <c r="AD145" s="48"/>
      <c r="AE145" s="48"/>
      <c r="AF145" s="48"/>
      <c r="AG145" s="48"/>
      <c r="AH145" s="48"/>
      <c r="AI145" s="48"/>
      <c r="AJ145" s="48"/>
    </row>
    <row r="146" customFormat="false" ht="15" hidden="false" customHeight="false" outlineLevel="0" collapsed="false">
      <c r="A146" s="8"/>
      <c r="B146" s="42"/>
      <c r="C146" s="43"/>
      <c r="D146" s="44"/>
      <c r="E146" s="44"/>
      <c r="F146" s="45"/>
      <c r="G146" s="46"/>
      <c r="H146" s="47"/>
      <c r="I146" s="9"/>
      <c r="J146" s="9"/>
      <c r="K146" s="43"/>
      <c r="L146" s="9"/>
      <c r="M146" s="9"/>
      <c r="N146" s="43"/>
      <c r="O146" s="48"/>
      <c r="P146" s="48"/>
      <c r="Q146" s="48"/>
      <c r="R146" s="48"/>
      <c r="S146" s="48"/>
      <c r="T146" s="48"/>
      <c r="U146" s="48"/>
      <c r="V146" s="48"/>
      <c r="W146" s="48"/>
      <c r="X146" s="48"/>
      <c r="Y146" s="48"/>
      <c r="Z146" s="48"/>
      <c r="AA146" s="48"/>
      <c r="AB146" s="48"/>
      <c r="AC146" s="48"/>
      <c r="AD146" s="48"/>
      <c r="AE146" s="48"/>
      <c r="AF146" s="48"/>
      <c r="AG146" s="48"/>
      <c r="AH146" s="48"/>
      <c r="AI146" s="48"/>
      <c r="AJ146" s="48"/>
    </row>
    <row r="147" customFormat="false" ht="15" hidden="false" customHeight="false" outlineLevel="0" collapsed="false">
      <c r="A147" s="8"/>
      <c r="B147" s="42"/>
      <c r="C147" s="43"/>
      <c r="D147" s="44"/>
      <c r="E147" s="44"/>
      <c r="F147" s="45"/>
      <c r="G147" s="46"/>
      <c r="H147" s="47"/>
      <c r="I147" s="9"/>
      <c r="J147" s="9"/>
      <c r="K147" s="43"/>
      <c r="L147" s="9"/>
      <c r="M147" s="9"/>
      <c r="N147" s="43"/>
      <c r="O147" s="48"/>
      <c r="P147" s="48"/>
      <c r="Q147" s="48"/>
      <c r="R147" s="48"/>
      <c r="S147" s="48"/>
      <c r="T147" s="48"/>
      <c r="U147" s="48"/>
      <c r="V147" s="48"/>
      <c r="W147" s="48"/>
      <c r="X147" s="48"/>
      <c r="Y147" s="48"/>
      <c r="Z147" s="48"/>
      <c r="AA147" s="48"/>
      <c r="AB147" s="48"/>
      <c r="AC147" s="48"/>
      <c r="AD147" s="48"/>
      <c r="AE147" s="48"/>
      <c r="AF147" s="48"/>
      <c r="AG147" s="48"/>
      <c r="AH147" s="48"/>
      <c r="AI147" s="48"/>
      <c r="AJ147" s="48"/>
    </row>
    <row r="148" customFormat="false" ht="15" hidden="false" customHeight="false" outlineLevel="0" collapsed="false">
      <c r="A148" s="8"/>
      <c r="B148" s="42"/>
      <c r="C148" s="43"/>
      <c r="D148" s="44"/>
      <c r="E148" s="44"/>
      <c r="F148" s="45"/>
      <c r="G148" s="46"/>
      <c r="H148" s="47"/>
      <c r="I148" s="9"/>
      <c r="J148" s="9"/>
      <c r="K148" s="43"/>
      <c r="L148" s="9"/>
      <c r="M148" s="9"/>
      <c r="N148" s="43"/>
      <c r="O148" s="48"/>
      <c r="P148" s="48"/>
      <c r="Q148" s="48"/>
      <c r="R148" s="48"/>
      <c r="S148" s="48"/>
      <c r="T148" s="48"/>
      <c r="U148" s="48"/>
      <c r="V148" s="48"/>
      <c r="W148" s="48"/>
      <c r="X148" s="48"/>
      <c r="Y148" s="48"/>
      <c r="Z148" s="48"/>
      <c r="AA148" s="48"/>
      <c r="AB148" s="48"/>
      <c r="AC148" s="48"/>
      <c r="AD148" s="48"/>
      <c r="AE148" s="48"/>
      <c r="AF148" s="48"/>
      <c r="AG148" s="48"/>
      <c r="AH148" s="48"/>
      <c r="AI148" s="48"/>
      <c r="AJ148" s="48"/>
    </row>
    <row r="149" customFormat="false" ht="15" hidden="false" customHeight="false" outlineLevel="0" collapsed="false">
      <c r="A149" s="8"/>
      <c r="B149" s="42"/>
      <c r="C149" s="43"/>
      <c r="D149" s="44"/>
      <c r="E149" s="44"/>
      <c r="F149" s="45"/>
      <c r="G149" s="46"/>
      <c r="H149" s="47"/>
      <c r="I149" s="9"/>
      <c r="J149" s="9"/>
      <c r="K149" s="43"/>
      <c r="L149" s="9"/>
      <c r="M149" s="9"/>
      <c r="N149" s="43"/>
      <c r="O149" s="48"/>
      <c r="P149" s="48"/>
      <c r="Q149" s="48"/>
      <c r="R149" s="48"/>
      <c r="S149" s="48"/>
      <c r="T149" s="48"/>
      <c r="U149" s="48"/>
      <c r="V149" s="48"/>
      <c r="W149" s="48"/>
      <c r="X149" s="48"/>
      <c r="Y149" s="48"/>
      <c r="Z149" s="48"/>
      <c r="AA149" s="48"/>
      <c r="AB149" s="48"/>
      <c r="AC149" s="48"/>
      <c r="AD149" s="48"/>
      <c r="AE149" s="48"/>
      <c r="AF149" s="48"/>
      <c r="AG149" s="48"/>
      <c r="AH149" s="48"/>
      <c r="AI149" s="48"/>
      <c r="AJ149" s="48"/>
    </row>
    <row r="150" customFormat="false" ht="15" hidden="false" customHeight="false" outlineLevel="0" collapsed="false">
      <c r="A150" s="8"/>
      <c r="B150" s="42"/>
      <c r="C150" s="43"/>
      <c r="D150" s="44"/>
      <c r="E150" s="44"/>
      <c r="F150" s="45"/>
      <c r="G150" s="46"/>
      <c r="H150" s="47"/>
      <c r="I150" s="9"/>
      <c r="J150" s="9"/>
      <c r="K150" s="43"/>
      <c r="L150" s="9"/>
      <c r="M150" s="9"/>
      <c r="N150" s="43"/>
      <c r="O150" s="48"/>
      <c r="P150" s="48"/>
      <c r="Q150" s="48"/>
      <c r="R150" s="48"/>
      <c r="S150" s="48"/>
      <c r="T150" s="48"/>
      <c r="U150" s="48"/>
      <c r="V150" s="48"/>
      <c r="W150" s="48"/>
      <c r="X150" s="48"/>
      <c r="Y150" s="48"/>
      <c r="Z150" s="48"/>
      <c r="AA150" s="48"/>
      <c r="AB150" s="48"/>
      <c r="AC150" s="48"/>
      <c r="AD150" s="48"/>
      <c r="AE150" s="48"/>
      <c r="AF150" s="48"/>
      <c r="AG150" s="48"/>
      <c r="AH150" s="48"/>
      <c r="AI150" s="48"/>
      <c r="AJ150" s="48"/>
    </row>
    <row r="151" customFormat="false" ht="15" hidden="false" customHeight="false" outlineLevel="0" collapsed="false">
      <c r="A151" s="8"/>
      <c r="B151" s="42"/>
      <c r="C151" s="43"/>
      <c r="D151" s="44"/>
      <c r="E151" s="44"/>
      <c r="F151" s="45"/>
      <c r="G151" s="46"/>
      <c r="H151" s="47"/>
      <c r="I151" s="9"/>
      <c r="J151" s="9"/>
      <c r="K151" s="43"/>
      <c r="L151" s="9"/>
      <c r="M151" s="9"/>
      <c r="N151" s="43"/>
      <c r="O151" s="48"/>
      <c r="P151" s="48"/>
      <c r="Q151" s="48"/>
      <c r="R151" s="48"/>
      <c r="S151" s="48"/>
      <c r="T151" s="48"/>
      <c r="U151" s="48"/>
      <c r="V151" s="48"/>
      <c r="W151" s="48"/>
      <c r="X151" s="48"/>
      <c r="Y151" s="48"/>
      <c r="Z151" s="48"/>
      <c r="AA151" s="48"/>
      <c r="AB151" s="48"/>
      <c r="AC151" s="48"/>
      <c r="AD151" s="48"/>
      <c r="AE151" s="48"/>
      <c r="AF151" s="48"/>
      <c r="AG151" s="48"/>
      <c r="AH151" s="48"/>
      <c r="AI151" s="48"/>
      <c r="AJ151" s="48"/>
    </row>
    <row r="152" customFormat="false" ht="15" hidden="false" customHeight="false" outlineLevel="0" collapsed="false">
      <c r="A152" s="8"/>
      <c r="B152" s="42"/>
      <c r="C152" s="43"/>
      <c r="D152" s="44"/>
      <c r="E152" s="44"/>
      <c r="F152" s="45"/>
      <c r="G152" s="46"/>
      <c r="H152" s="47"/>
      <c r="I152" s="9"/>
      <c r="J152" s="9"/>
      <c r="K152" s="43"/>
      <c r="L152" s="9"/>
      <c r="M152" s="9"/>
      <c r="N152" s="43"/>
      <c r="O152" s="48"/>
      <c r="P152" s="48"/>
      <c r="Q152" s="48"/>
      <c r="R152" s="48"/>
      <c r="S152" s="48"/>
      <c r="T152" s="48"/>
      <c r="U152" s="48"/>
      <c r="V152" s="48"/>
      <c r="W152" s="48"/>
      <c r="X152" s="48"/>
      <c r="Y152" s="48"/>
      <c r="Z152" s="48"/>
      <c r="AA152" s="48"/>
      <c r="AB152" s="48"/>
      <c r="AC152" s="48"/>
      <c r="AD152" s="48"/>
      <c r="AE152" s="48"/>
      <c r="AF152" s="48"/>
      <c r="AG152" s="48"/>
      <c r="AH152" s="48"/>
      <c r="AI152" s="48"/>
      <c r="AJ152" s="48"/>
    </row>
    <row r="153" customFormat="false" ht="15" hidden="false" customHeight="false" outlineLevel="0" collapsed="false">
      <c r="A153" s="8"/>
      <c r="B153" s="42"/>
      <c r="C153" s="43"/>
      <c r="D153" s="44"/>
      <c r="E153" s="44"/>
      <c r="F153" s="45"/>
      <c r="G153" s="46"/>
      <c r="H153" s="47"/>
      <c r="I153" s="9"/>
      <c r="J153" s="9"/>
      <c r="K153" s="43"/>
      <c r="L153" s="9"/>
      <c r="M153" s="9"/>
      <c r="N153" s="43"/>
      <c r="O153" s="48"/>
      <c r="P153" s="48"/>
      <c r="Q153" s="48"/>
      <c r="R153" s="48"/>
      <c r="S153" s="48"/>
      <c r="T153" s="48"/>
      <c r="U153" s="48"/>
      <c r="V153" s="48"/>
      <c r="W153" s="48"/>
      <c r="X153" s="48"/>
      <c r="Y153" s="48"/>
      <c r="Z153" s="48"/>
      <c r="AA153" s="48"/>
      <c r="AB153" s="48"/>
      <c r="AC153" s="48"/>
      <c r="AD153" s="48"/>
      <c r="AE153" s="48"/>
      <c r="AF153" s="48"/>
      <c r="AG153" s="48"/>
      <c r="AH153" s="48"/>
      <c r="AI153" s="48"/>
      <c r="AJ153" s="48"/>
    </row>
    <row r="154" customFormat="false" ht="15" hidden="false" customHeight="false" outlineLevel="0" collapsed="false">
      <c r="A154" s="8"/>
      <c r="B154" s="42"/>
      <c r="C154" s="43"/>
      <c r="D154" s="44"/>
      <c r="E154" s="44"/>
      <c r="F154" s="45"/>
      <c r="G154" s="46"/>
      <c r="H154" s="47"/>
      <c r="I154" s="9"/>
      <c r="J154" s="9"/>
      <c r="K154" s="43"/>
      <c r="L154" s="9"/>
      <c r="M154" s="9"/>
      <c r="N154" s="43"/>
      <c r="O154" s="48"/>
      <c r="P154" s="48"/>
      <c r="Q154" s="48"/>
      <c r="R154" s="48"/>
      <c r="S154" s="48"/>
      <c r="T154" s="48"/>
      <c r="U154" s="48"/>
      <c r="V154" s="48"/>
      <c r="W154" s="48"/>
      <c r="X154" s="48"/>
      <c r="Y154" s="48"/>
      <c r="Z154" s="48"/>
      <c r="AA154" s="48"/>
      <c r="AB154" s="48"/>
      <c r="AC154" s="48"/>
      <c r="AD154" s="48"/>
      <c r="AE154" s="48"/>
      <c r="AF154" s="48"/>
      <c r="AG154" s="48"/>
      <c r="AH154" s="48"/>
      <c r="AI154" s="48"/>
      <c r="AJ154" s="48"/>
    </row>
    <row r="155" customFormat="false" ht="15" hidden="false" customHeight="false" outlineLevel="0" collapsed="false">
      <c r="A155" s="8"/>
      <c r="B155" s="42"/>
      <c r="C155" s="43"/>
      <c r="D155" s="44"/>
      <c r="E155" s="44"/>
      <c r="F155" s="45"/>
      <c r="G155" s="46"/>
      <c r="H155" s="47"/>
      <c r="I155" s="9"/>
      <c r="J155" s="9"/>
      <c r="K155" s="43"/>
      <c r="L155" s="9"/>
      <c r="M155" s="9"/>
      <c r="N155" s="43"/>
      <c r="O155" s="48"/>
      <c r="P155" s="48"/>
      <c r="Q155" s="48"/>
      <c r="R155" s="48"/>
      <c r="S155" s="48"/>
      <c r="T155" s="48"/>
      <c r="U155" s="48"/>
      <c r="V155" s="48"/>
      <c r="W155" s="48"/>
      <c r="X155" s="48"/>
      <c r="Y155" s="48"/>
      <c r="Z155" s="48"/>
      <c r="AA155" s="48"/>
      <c r="AB155" s="48"/>
      <c r="AC155" s="48"/>
      <c r="AD155" s="48"/>
      <c r="AE155" s="48"/>
      <c r="AF155" s="48"/>
      <c r="AG155" s="48"/>
      <c r="AH155" s="48"/>
      <c r="AI155" s="48"/>
      <c r="AJ155" s="48"/>
    </row>
    <row r="156" customFormat="false" ht="15" hidden="false" customHeight="false" outlineLevel="0" collapsed="false">
      <c r="A156" s="8"/>
      <c r="B156" s="42"/>
      <c r="C156" s="43"/>
      <c r="D156" s="44"/>
      <c r="E156" s="44"/>
      <c r="F156" s="45"/>
      <c r="G156" s="46"/>
      <c r="H156" s="47"/>
      <c r="I156" s="9"/>
      <c r="J156" s="9"/>
      <c r="K156" s="43"/>
      <c r="L156" s="9"/>
      <c r="M156" s="9"/>
      <c r="N156" s="43"/>
      <c r="O156" s="48"/>
      <c r="P156" s="48"/>
      <c r="Q156" s="48"/>
      <c r="R156" s="48"/>
      <c r="S156" s="48"/>
      <c r="T156" s="48"/>
      <c r="U156" s="48"/>
      <c r="V156" s="48"/>
      <c r="W156" s="48"/>
      <c r="X156" s="48"/>
      <c r="Y156" s="48"/>
      <c r="Z156" s="48"/>
      <c r="AA156" s="48"/>
      <c r="AB156" s="48"/>
      <c r="AC156" s="48"/>
      <c r="AD156" s="48"/>
      <c r="AE156" s="48"/>
      <c r="AF156" s="48"/>
      <c r="AG156" s="48"/>
      <c r="AH156" s="48"/>
      <c r="AI156" s="48"/>
      <c r="AJ156" s="48"/>
    </row>
    <row r="157" customFormat="false" ht="15" hidden="false" customHeight="false" outlineLevel="0" collapsed="false">
      <c r="A157" s="8"/>
      <c r="B157" s="42"/>
      <c r="C157" s="43"/>
      <c r="D157" s="44"/>
      <c r="E157" s="44"/>
      <c r="F157" s="45"/>
      <c r="G157" s="46"/>
      <c r="H157" s="47"/>
      <c r="I157" s="9"/>
      <c r="J157" s="9"/>
      <c r="K157" s="43"/>
      <c r="L157" s="9"/>
      <c r="M157" s="9"/>
      <c r="N157" s="43"/>
      <c r="O157" s="48"/>
      <c r="P157" s="48"/>
      <c r="Q157" s="48"/>
      <c r="R157" s="48"/>
      <c r="S157" s="48"/>
      <c r="T157" s="48"/>
      <c r="U157" s="48"/>
      <c r="V157" s="48"/>
      <c r="W157" s="48"/>
      <c r="X157" s="48"/>
      <c r="Y157" s="48"/>
      <c r="Z157" s="48"/>
      <c r="AA157" s="48"/>
      <c r="AB157" s="48"/>
      <c r="AC157" s="48"/>
      <c r="AD157" s="48"/>
      <c r="AE157" s="48"/>
      <c r="AF157" s="48"/>
      <c r="AG157" s="48"/>
      <c r="AH157" s="48"/>
      <c r="AI157" s="48"/>
      <c r="AJ157" s="48"/>
    </row>
    <row r="158" customFormat="false" ht="15" hidden="false" customHeight="false" outlineLevel="0" collapsed="false">
      <c r="A158" s="8"/>
      <c r="B158" s="42"/>
      <c r="C158" s="43"/>
      <c r="D158" s="44"/>
      <c r="E158" s="44"/>
      <c r="F158" s="45"/>
      <c r="G158" s="46"/>
      <c r="H158" s="47"/>
      <c r="I158" s="9"/>
      <c r="J158" s="9"/>
      <c r="K158" s="43"/>
      <c r="L158" s="9"/>
      <c r="M158" s="9"/>
      <c r="N158" s="43"/>
      <c r="O158" s="48"/>
      <c r="P158" s="48"/>
      <c r="Q158" s="48"/>
      <c r="R158" s="48"/>
      <c r="S158" s="48"/>
      <c r="T158" s="48"/>
      <c r="U158" s="48"/>
      <c r="V158" s="48"/>
      <c r="W158" s="48"/>
      <c r="X158" s="48"/>
      <c r="Y158" s="48"/>
      <c r="Z158" s="48"/>
      <c r="AA158" s="48"/>
      <c r="AB158" s="48"/>
      <c r="AC158" s="48"/>
      <c r="AD158" s="48"/>
      <c r="AE158" s="48"/>
      <c r="AF158" s="48"/>
      <c r="AG158" s="48"/>
      <c r="AH158" s="48"/>
      <c r="AI158" s="48"/>
      <c r="AJ158" s="48"/>
    </row>
    <row r="159" customFormat="false" ht="15" hidden="false" customHeight="false" outlineLevel="0" collapsed="false">
      <c r="A159" s="8"/>
      <c r="B159" s="42"/>
      <c r="C159" s="43"/>
      <c r="D159" s="44"/>
      <c r="E159" s="44"/>
      <c r="F159" s="45"/>
      <c r="G159" s="46"/>
      <c r="H159" s="47"/>
      <c r="I159" s="9"/>
      <c r="J159" s="9"/>
      <c r="K159" s="43"/>
      <c r="L159" s="9"/>
      <c r="M159" s="9"/>
      <c r="N159" s="43"/>
      <c r="O159" s="48"/>
      <c r="P159" s="48"/>
      <c r="Q159" s="48"/>
      <c r="R159" s="48"/>
      <c r="S159" s="48"/>
      <c r="T159" s="48"/>
      <c r="U159" s="48"/>
      <c r="V159" s="48"/>
      <c r="W159" s="48"/>
      <c r="X159" s="48"/>
      <c r="Y159" s="48"/>
      <c r="Z159" s="48"/>
      <c r="AA159" s="48"/>
      <c r="AB159" s="48"/>
      <c r="AC159" s="48"/>
      <c r="AD159" s="48"/>
      <c r="AE159" s="48"/>
      <c r="AF159" s="48"/>
      <c r="AG159" s="48"/>
      <c r="AH159" s="48"/>
      <c r="AI159" s="48"/>
      <c r="AJ159" s="48"/>
    </row>
    <row r="160" customFormat="false" ht="15" hidden="false" customHeight="false" outlineLevel="0" collapsed="false">
      <c r="A160" s="8"/>
      <c r="B160" s="42"/>
      <c r="C160" s="43"/>
      <c r="D160" s="44"/>
      <c r="E160" s="44"/>
      <c r="F160" s="45"/>
      <c r="G160" s="46"/>
      <c r="H160" s="47"/>
      <c r="I160" s="9"/>
      <c r="J160" s="9"/>
      <c r="K160" s="43"/>
      <c r="L160" s="9"/>
      <c r="M160" s="9"/>
      <c r="N160" s="43"/>
      <c r="O160" s="48"/>
      <c r="P160" s="48"/>
      <c r="Q160" s="48"/>
      <c r="R160" s="48"/>
      <c r="S160" s="48"/>
      <c r="T160" s="48"/>
      <c r="U160" s="48"/>
      <c r="V160" s="48"/>
      <c r="W160" s="48"/>
      <c r="X160" s="48"/>
      <c r="Y160" s="48"/>
      <c r="Z160" s="48"/>
      <c r="AA160" s="48"/>
      <c r="AB160" s="48"/>
      <c r="AC160" s="48"/>
      <c r="AD160" s="48"/>
      <c r="AE160" s="48"/>
      <c r="AF160" s="48"/>
      <c r="AG160" s="48"/>
      <c r="AH160" s="48"/>
      <c r="AI160" s="48"/>
      <c r="AJ160" s="48"/>
    </row>
    <row r="161" customFormat="false" ht="15" hidden="false" customHeight="false" outlineLevel="0" collapsed="false">
      <c r="A161" s="8"/>
      <c r="B161" s="42"/>
      <c r="C161" s="43"/>
      <c r="D161" s="44"/>
      <c r="E161" s="44"/>
      <c r="F161" s="45"/>
      <c r="G161" s="46"/>
      <c r="H161" s="47"/>
      <c r="I161" s="9"/>
      <c r="J161" s="9"/>
      <c r="K161" s="43"/>
      <c r="L161" s="9"/>
      <c r="M161" s="9"/>
      <c r="N161" s="43"/>
      <c r="O161" s="48"/>
      <c r="P161" s="48"/>
      <c r="Q161" s="48"/>
      <c r="R161" s="48"/>
      <c r="S161" s="48"/>
      <c r="T161" s="48"/>
      <c r="U161" s="48"/>
      <c r="V161" s="48"/>
      <c r="W161" s="48"/>
      <c r="X161" s="48"/>
      <c r="Y161" s="48"/>
      <c r="Z161" s="48"/>
      <c r="AA161" s="48"/>
      <c r="AB161" s="48"/>
      <c r="AC161" s="48"/>
      <c r="AD161" s="48"/>
      <c r="AE161" s="48"/>
      <c r="AF161" s="48"/>
      <c r="AG161" s="48"/>
      <c r="AH161" s="48"/>
      <c r="AI161" s="48"/>
      <c r="AJ161" s="48"/>
    </row>
    <row r="162" customFormat="false" ht="15" hidden="false" customHeight="false" outlineLevel="0" collapsed="false">
      <c r="A162" s="8"/>
      <c r="B162" s="42"/>
      <c r="C162" s="43"/>
      <c r="D162" s="44"/>
      <c r="E162" s="44"/>
      <c r="F162" s="45"/>
      <c r="G162" s="46"/>
      <c r="H162" s="47"/>
      <c r="I162" s="9"/>
      <c r="J162" s="9"/>
      <c r="K162" s="43"/>
      <c r="L162" s="9"/>
      <c r="M162" s="9"/>
      <c r="N162" s="43"/>
      <c r="O162" s="48"/>
      <c r="P162" s="48"/>
      <c r="Q162" s="48"/>
      <c r="R162" s="48"/>
      <c r="S162" s="48"/>
      <c r="T162" s="48"/>
      <c r="U162" s="48"/>
      <c r="V162" s="48"/>
      <c r="W162" s="48"/>
      <c r="X162" s="48"/>
      <c r="Y162" s="48"/>
      <c r="Z162" s="48"/>
      <c r="AA162" s="48"/>
      <c r="AB162" s="48"/>
      <c r="AC162" s="48"/>
      <c r="AD162" s="48"/>
      <c r="AE162" s="48"/>
      <c r="AF162" s="48"/>
      <c r="AG162" s="48"/>
      <c r="AH162" s="48"/>
      <c r="AI162" s="48"/>
      <c r="AJ162" s="48"/>
    </row>
    <row r="163" customFormat="false" ht="15" hidden="false" customHeight="false" outlineLevel="0" collapsed="false">
      <c r="A163" s="8"/>
      <c r="B163" s="42"/>
      <c r="C163" s="43"/>
      <c r="D163" s="44"/>
      <c r="E163" s="44"/>
      <c r="F163" s="45"/>
      <c r="G163" s="46"/>
      <c r="H163" s="47"/>
      <c r="I163" s="9"/>
      <c r="J163" s="9"/>
      <c r="K163" s="43"/>
      <c r="L163" s="9"/>
      <c r="M163" s="9"/>
      <c r="N163" s="43"/>
      <c r="O163" s="48"/>
      <c r="P163" s="48"/>
      <c r="Q163" s="48"/>
      <c r="R163" s="48"/>
      <c r="S163" s="48"/>
      <c r="T163" s="48"/>
      <c r="U163" s="48"/>
      <c r="V163" s="48"/>
      <c r="W163" s="48"/>
      <c r="X163" s="48"/>
      <c r="Y163" s="48"/>
      <c r="Z163" s="48"/>
      <c r="AA163" s="48"/>
      <c r="AB163" s="48"/>
      <c r="AC163" s="48"/>
      <c r="AD163" s="48"/>
      <c r="AE163" s="48"/>
      <c r="AF163" s="48"/>
      <c r="AG163" s="48"/>
      <c r="AH163" s="48"/>
      <c r="AI163" s="48"/>
      <c r="AJ163" s="48"/>
    </row>
    <row r="164" customFormat="false" ht="15" hidden="false" customHeight="false" outlineLevel="0" collapsed="false">
      <c r="A164" s="8"/>
      <c r="B164" s="42"/>
      <c r="C164" s="43"/>
      <c r="D164" s="44"/>
      <c r="E164" s="44"/>
      <c r="F164" s="45"/>
      <c r="G164" s="46"/>
      <c r="H164" s="47"/>
      <c r="I164" s="9"/>
      <c r="J164" s="9"/>
      <c r="K164" s="43"/>
      <c r="L164" s="9"/>
      <c r="M164" s="9"/>
      <c r="N164" s="43"/>
      <c r="O164" s="48"/>
      <c r="P164" s="48"/>
      <c r="Q164" s="48"/>
      <c r="R164" s="48"/>
      <c r="S164" s="48"/>
      <c r="T164" s="48"/>
      <c r="U164" s="48"/>
      <c r="V164" s="48"/>
      <c r="W164" s="48"/>
      <c r="X164" s="48"/>
      <c r="Y164" s="48"/>
      <c r="Z164" s="48"/>
      <c r="AA164" s="48"/>
      <c r="AB164" s="48"/>
      <c r="AC164" s="48"/>
      <c r="AD164" s="48"/>
      <c r="AE164" s="48"/>
      <c r="AF164" s="48"/>
      <c r="AG164" s="48"/>
      <c r="AH164" s="48"/>
      <c r="AI164" s="48"/>
      <c r="AJ164" s="48"/>
    </row>
    <row r="165" customFormat="false" ht="15" hidden="false" customHeight="false" outlineLevel="0" collapsed="false">
      <c r="A165" s="8"/>
      <c r="B165" s="42"/>
      <c r="C165" s="43"/>
      <c r="D165" s="44"/>
      <c r="E165" s="44"/>
      <c r="F165" s="45"/>
      <c r="G165" s="46"/>
      <c r="H165" s="47"/>
      <c r="I165" s="9"/>
      <c r="J165" s="9"/>
      <c r="K165" s="43"/>
      <c r="L165" s="9"/>
      <c r="M165" s="9"/>
      <c r="N165" s="43"/>
      <c r="O165" s="48"/>
      <c r="P165" s="48"/>
      <c r="Q165" s="48"/>
      <c r="R165" s="48"/>
      <c r="S165" s="48"/>
      <c r="T165" s="48"/>
      <c r="U165" s="48"/>
      <c r="V165" s="48"/>
      <c r="W165" s="48"/>
      <c r="X165" s="48"/>
      <c r="Y165" s="48"/>
      <c r="Z165" s="48"/>
      <c r="AA165" s="48"/>
      <c r="AB165" s="48"/>
      <c r="AC165" s="48"/>
      <c r="AD165" s="48"/>
      <c r="AE165" s="48"/>
      <c r="AF165" s="48"/>
      <c r="AG165" s="48"/>
      <c r="AH165" s="48"/>
      <c r="AI165" s="48"/>
      <c r="AJ165" s="48"/>
    </row>
    <row r="166" customFormat="false" ht="15" hidden="false" customHeight="false" outlineLevel="0" collapsed="false">
      <c r="A166" s="8"/>
      <c r="B166" s="42"/>
      <c r="C166" s="43"/>
      <c r="D166" s="44"/>
      <c r="E166" s="44"/>
      <c r="F166" s="45"/>
      <c r="G166" s="46"/>
      <c r="H166" s="47"/>
      <c r="I166" s="9"/>
      <c r="J166" s="9"/>
      <c r="K166" s="43"/>
      <c r="L166" s="9"/>
      <c r="M166" s="9"/>
      <c r="N166" s="43"/>
      <c r="O166" s="48"/>
      <c r="P166" s="48"/>
      <c r="Q166" s="48"/>
      <c r="R166" s="48"/>
      <c r="S166" s="48"/>
      <c r="T166" s="48"/>
      <c r="U166" s="48"/>
      <c r="V166" s="48"/>
      <c r="W166" s="48"/>
      <c r="X166" s="48"/>
      <c r="Y166" s="48"/>
      <c r="Z166" s="48"/>
      <c r="AA166" s="48"/>
      <c r="AB166" s="48"/>
      <c r="AC166" s="48"/>
      <c r="AD166" s="48"/>
      <c r="AE166" s="48"/>
      <c r="AF166" s="48"/>
      <c r="AG166" s="48"/>
      <c r="AH166" s="48"/>
      <c r="AI166" s="48"/>
      <c r="AJ166" s="48"/>
    </row>
    <row r="167" customFormat="false" ht="15" hidden="false" customHeight="false" outlineLevel="0" collapsed="false">
      <c r="A167" s="8"/>
      <c r="B167" s="42"/>
      <c r="C167" s="43"/>
      <c r="D167" s="44"/>
      <c r="E167" s="44"/>
      <c r="F167" s="45"/>
      <c r="G167" s="46"/>
      <c r="H167" s="47"/>
      <c r="I167" s="9"/>
      <c r="J167" s="9"/>
      <c r="K167" s="43"/>
      <c r="L167" s="9"/>
      <c r="M167" s="9"/>
      <c r="N167" s="43"/>
      <c r="O167" s="48"/>
      <c r="P167" s="48"/>
      <c r="Q167" s="48"/>
      <c r="R167" s="48"/>
      <c r="S167" s="48"/>
      <c r="T167" s="48"/>
      <c r="U167" s="48"/>
      <c r="V167" s="48"/>
      <c r="W167" s="48"/>
      <c r="X167" s="48"/>
      <c r="Y167" s="48"/>
      <c r="Z167" s="48"/>
      <c r="AA167" s="48"/>
      <c r="AB167" s="48"/>
      <c r="AC167" s="48"/>
      <c r="AD167" s="48"/>
      <c r="AE167" s="48"/>
      <c r="AF167" s="48"/>
      <c r="AG167" s="48"/>
      <c r="AH167" s="48"/>
      <c r="AI167" s="48"/>
      <c r="AJ167" s="48"/>
    </row>
    <row r="168" customFormat="false" ht="15" hidden="false" customHeight="false" outlineLevel="0" collapsed="false">
      <c r="A168" s="8"/>
      <c r="B168" s="42"/>
      <c r="C168" s="43"/>
      <c r="D168" s="44"/>
      <c r="E168" s="44"/>
      <c r="F168" s="45"/>
      <c r="G168" s="46"/>
      <c r="H168" s="47"/>
      <c r="I168" s="9"/>
      <c r="J168" s="9"/>
      <c r="K168" s="43"/>
      <c r="L168" s="9"/>
      <c r="M168" s="9"/>
      <c r="N168" s="43"/>
      <c r="O168" s="48"/>
      <c r="P168" s="48"/>
      <c r="Q168" s="48"/>
      <c r="R168" s="48"/>
      <c r="S168" s="48"/>
      <c r="T168" s="48"/>
      <c r="U168" s="48"/>
      <c r="V168" s="48"/>
      <c r="W168" s="48"/>
      <c r="X168" s="48"/>
      <c r="Y168" s="48"/>
      <c r="Z168" s="48"/>
      <c r="AA168" s="48"/>
      <c r="AB168" s="48"/>
      <c r="AC168" s="48"/>
      <c r="AD168" s="48"/>
      <c r="AE168" s="48"/>
      <c r="AF168" s="48"/>
      <c r="AG168" s="48"/>
      <c r="AH168" s="48"/>
      <c r="AI168" s="48"/>
      <c r="AJ168" s="48"/>
    </row>
    <row r="169" customFormat="false" ht="15" hidden="false" customHeight="false" outlineLevel="0" collapsed="false">
      <c r="A169" s="8"/>
      <c r="B169" s="42"/>
      <c r="C169" s="43"/>
      <c r="D169" s="44"/>
      <c r="E169" s="44"/>
      <c r="F169" s="45"/>
      <c r="G169" s="46"/>
      <c r="H169" s="47"/>
      <c r="I169" s="9"/>
      <c r="J169" s="9"/>
      <c r="K169" s="43"/>
      <c r="L169" s="9"/>
      <c r="M169" s="9"/>
      <c r="N169" s="43"/>
      <c r="O169" s="48"/>
      <c r="P169" s="48"/>
      <c r="Q169" s="48"/>
      <c r="R169" s="48"/>
      <c r="S169" s="48"/>
      <c r="T169" s="48"/>
      <c r="U169" s="48"/>
      <c r="V169" s="48"/>
      <c r="W169" s="48"/>
      <c r="X169" s="48"/>
      <c r="Y169" s="48"/>
      <c r="Z169" s="48"/>
      <c r="AA169" s="48"/>
      <c r="AB169" s="48"/>
      <c r="AC169" s="48"/>
      <c r="AD169" s="48"/>
      <c r="AE169" s="48"/>
      <c r="AF169" s="48"/>
      <c r="AG169" s="48"/>
      <c r="AH169" s="48"/>
      <c r="AI169" s="48"/>
      <c r="AJ169" s="48"/>
    </row>
    <row r="170" customFormat="false" ht="15" hidden="false" customHeight="false" outlineLevel="0" collapsed="false">
      <c r="A170" s="8"/>
      <c r="B170" s="42"/>
      <c r="C170" s="43"/>
      <c r="D170" s="44"/>
      <c r="E170" s="44"/>
      <c r="F170" s="45"/>
      <c r="G170" s="46"/>
      <c r="H170" s="47"/>
      <c r="I170" s="9"/>
      <c r="J170" s="9"/>
      <c r="K170" s="43"/>
      <c r="L170" s="9"/>
      <c r="M170" s="9"/>
      <c r="N170" s="43"/>
      <c r="O170" s="48"/>
      <c r="P170" s="48"/>
      <c r="Q170" s="48"/>
      <c r="R170" s="48"/>
      <c r="S170" s="48"/>
      <c r="T170" s="48"/>
      <c r="U170" s="48"/>
      <c r="V170" s="48"/>
      <c r="W170" s="48"/>
      <c r="X170" s="48"/>
      <c r="Y170" s="48"/>
      <c r="Z170" s="48"/>
      <c r="AA170" s="48"/>
      <c r="AB170" s="48"/>
      <c r="AC170" s="48"/>
      <c r="AD170" s="48"/>
      <c r="AE170" s="48"/>
      <c r="AF170" s="48"/>
      <c r="AG170" s="48"/>
      <c r="AH170" s="48"/>
      <c r="AI170" s="48"/>
      <c r="AJ170" s="48"/>
    </row>
    <row r="171" customFormat="false" ht="15" hidden="false" customHeight="false" outlineLevel="0" collapsed="false">
      <c r="A171" s="8"/>
      <c r="B171" s="42"/>
      <c r="C171" s="43"/>
      <c r="D171" s="44"/>
      <c r="E171" s="44"/>
      <c r="F171" s="45"/>
      <c r="G171" s="46"/>
      <c r="H171" s="47"/>
      <c r="I171" s="9"/>
      <c r="J171" s="9"/>
      <c r="K171" s="43"/>
      <c r="L171" s="9"/>
      <c r="M171" s="9"/>
      <c r="N171" s="43"/>
      <c r="O171" s="48"/>
      <c r="P171" s="48"/>
      <c r="Q171" s="48"/>
      <c r="R171" s="48"/>
      <c r="S171" s="48"/>
      <c r="T171" s="48"/>
      <c r="U171" s="48"/>
      <c r="V171" s="48"/>
      <c r="W171" s="48"/>
      <c r="X171" s="48"/>
      <c r="Y171" s="48"/>
      <c r="Z171" s="48"/>
      <c r="AA171" s="48"/>
      <c r="AB171" s="48"/>
      <c r="AC171" s="48"/>
      <c r="AD171" s="48"/>
      <c r="AE171" s="48"/>
      <c r="AF171" s="48"/>
      <c r="AG171" s="48"/>
      <c r="AH171" s="48"/>
      <c r="AI171" s="48"/>
      <c r="AJ171" s="48"/>
    </row>
    <row r="172" customFormat="false" ht="15" hidden="false" customHeight="false" outlineLevel="0" collapsed="false">
      <c r="A172" s="8"/>
      <c r="B172" s="42"/>
      <c r="C172" s="43"/>
      <c r="D172" s="44"/>
      <c r="E172" s="44"/>
      <c r="F172" s="45"/>
      <c r="G172" s="46"/>
      <c r="H172" s="47"/>
      <c r="I172" s="9"/>
      <c r="J172" s="9"/>
      <c r="K172" s="43"/>
      <c r="L172" s="9"/>
      <c r="M172" s="9"/>
      <c r="N172" s="43"/>
      <c r="O172" s="48"/>
      <c r="P172" s="48"/>
      <c r="Q172" s="48"/>
      <c r="R172" s="48"/>
      <c r="S172" s="48"/>
      <c r="T172" s="48"/>
      <c r="U172" s="48"/>
      <c r="V172" s="48"/>
      <c r="W172" s="48"/>
      <c r="X172" s="48"/>
      <c r="Y172" s="48"/>
      <c r="Z172" s="48"/>
      <c r="AA172" s="48"/>
      <c r="AB172" s="48"/>
      <c r="AC172" s="48"/>
      <c r="AD172" s="48"/>
      <c r="AE172" s="48"/>
      <c r="AF172" s="48"/>
      <c r="AG172" s="48"/>
      <c r="AH172" s="48"/>
      <c r="AI172" s="48"/>
      <c r="AJ172" s="48"/>
    </row>
    <row r="173" customFormat="false" ht="15" hidden="false" customHeight="false" outlineLevel="0" collapsed="false">
      <c r="A173" s="8"/>
      <c r="B173" s="42"/>
      <c r="C173" s="43"/>
      <c r="D173" s="44"/>
      <c r="E173" s="44"/>
      <c r="F173" s="45"/>
      <c r="G173" s="46"/>
      <c r="H173" s="47"/>
      <c r="I173" s="9"/>
      <c r="J173" s="9"/>
      <c r="K173" s="43"/>
      <c r="L173" s="9"/>
      <c r="M173" s="9"/>
      <c r="N173" s="43"/>
      <c r="O173" s="48"/>
      <c r="P173" s="48"/>
      <c r="Q173" s="48"/>
      <c r="R173" s="48"/>
      <c r="S173" s="48"/>
      <c r="T173" s="48"/>
      <c r="U173" s="48"/>
      <c r="V173" s="48"/>
      <c r="W173" s="48"/>
      <c r="X173" s="48"/>
      <c r="Y173" s="48"/>
      <c r="Z173" s="48"/>
      <c r="AA173" s="48"/>
      <c r="AB173" s="48"/>
      <c r="AC173" s="48"/>
      <c r="AD173" s="48"/>
      <c r="AE173" s="48"/>
      <c r="AF173" s="48"/>
      <c r="AG173" s="48"/>
      <c r="AH173" s="48"/>
      <c r="AI173" s="48"/>
      <c r="AJ173" s="48"/>
    </row>
    <row r="174" customFormat="false" ht="15" hidden="false" customHeight="false" outlineLevel="0" collapsed="false">
      <c r="A174" s="8"/>
      <c r="B174" s="42"/>
      <c r="C174" s="43"/>
      <c r="D174" s="44"/>
      <c r="E174" s="44"/>
      <c r="F174" s="45"/>
      <c r="G174" s="46"/>
      <c r="H174" s="47"/>
      <c r="I174" s="9"/>
      <c r="J174" s="9"/>
      <c r="K174" s="43"/>
      <c r="L174" s="9"/>
      <c r="M174" s="9"/>
      <c r="N174" s="43"/>
      <c r="O174" s="48"/>
      <c r="P174" s="48"/>
      <c r="Q174" s="48"/>
      <c r="R174" s="48"/>
      <c r="S174" s="48"/>
      <c r="T174" s="48"/>
      <c r="U174" s="48"/>
      <c r="V174" s="48"/>
      <c r="W174" s="48"/>
      <c r="X174" s="48"/>
      <c r="Y174" s="48"/>
      <c r="Z174" s="48"/>
      <c r="AA174" s="48"/>
      <c r="AB174" s="48"/>
      <c r="AC174" s="48"/>
      <c r="AD174" s="48"/>
      <c r="AE174" s="48"/>
      <c r="AF174" s="48"/>
      <c r="AG174" s="48"/>
      <c r="AH174" s="48"/>
      <c r="AI174" s="48"/>
      <c r="AJ174" s="48"/>
    </row>
    <row r="175" customFormat="false" ht="15" hidden="false" customHeight="false" outlineLevel="0" collapsed="false">
      <c r="A175" s="8"/>
      <c r="B175" s="42"/>
      <c r="C175" s="43"/>
      <c r="D175" s="44"/>
      <c r="E175" s="44"/>
      <c r="F175" s="45"/>
      <c r="G175" s="46"/>
      <c r="H175" s="47"/>
      <c r="I175" s="9"/>
      <c r="J175" s="9"/>
      <c r="K175" s="43"/>
      <c r="L175" s="9"/>
      <c r="M175" s="9"/>
      <c r="N175" s="43"/>
      <c r="O175" s="48"/>
      <c r="P175" s="48"/>
      <c r="Q175" s="48"/>
      <c r="R175" s="48"/>
      <c r="S175" s="48"/>
      <c r="T175" s="48"/>
      <c r="U175" s="48"/>
      <c r="V175" s="48"/>
      <c r="W175" s="48"/>
      <c r="X175" s="48"/>
      <c r="Y175" s="48"/>
      <c r="Z175" s="48"/>
      <c r="AA175" s="48"/>
      <c r="AB175" s="48"/>
      <c r="AC175" s="48"/>
      <c r="AD175" s="48"/>
      <c r="AE175" s="48"/>
      <c r="AF175" s="48"/>
      <c r="AG175" s="48"/>
      <c r="AH175" s="48"/>
      <c r="AI175" s="48"/>
      <c r="AJ175" s="48"/>
    </row>
    <row r="176" customFormat="false" ht="15" hidden="false" customHeight="false" outlineLevel="0" collapsed="false">
      <c r="A176" s="8"/>
      <c r="B176" s="42"/>
      <c r="C176" s="43"/>
      <c r="D176" s="44"/>
      <c r="E176" s="44"/>
      <c r="F176" s="45"/>
      <c r="G176" s="46"/>
      <c r="H176" s="47"/>
      <c r="I176" s="9"/>
      <c r="J176" s="9"/>
      <c r="K176" s="43"/>
      <c r="L176" s="9"/>
      <c r="M176" s="9"/>
      <c r="N176" s="43"/>
      <c r="O176" s="48"/>
      <c r="P176" s="48"/>
      <c r="Q176" s="48"/>
      <c r="R176" s="48"/>
      <c r="S176" s="48"/>
      <c r="T176" s="48"/>
      <c r="U176" s="48"/>
      <c r="V176" s="48"/>
      <c r="W176" s="48"/>
      <c r="X176" s="48"/>
      <c r="Y176" s="48"/>
      <c r="Z176" s="48"/>
      <c r="AA176" s="48"/>
      <c r="AB176" s="48"/>
      <c r="AC176" s="48"/>
      <c r="AD176" s="48"/>
      <c r="AE176" s="48"/>
      <c r="AF176" s="48"/>
      <c r="AG176" s="48"/>
      <c r="AH176" s="48"/>
      <c r="AI176" s="48"/>
      <c r="AJ176" s="48"/>
    </row>
    <row r="177" customFormat="false" ht="15" hidden="false" customHeight="false" outlineLevel="0" collapsed="false">
      <c r="A177" s="8"/>
      <c r="B177" s="42"/>
      <c r="C177" s="43"/>
      <c r="D177" s="44"/>
      <c r="E177" s="44"/>
      <c r="F177" s="45"/>
      <c r="G177" s="46"/>
      <c r="H177" s="47"/>
      <c r="I177" s="9"/>
      <c r="J177" s="9"/>
      <c r="K177" s="43"/>
      <c r="L177" s="9"/>
      <c r="M177" s="9"/>
      <c r="N177" s="43"/>
      <c r="O177" s="48"/>
      <c r="P177" s="48"/>
      <c r="Q177" s="48"/>
      <c r="R177" s="48"/>
      <c r="S177" s="48"/>
      <c r="T177" s="48"/>
      <c r="U177" s="48"/>
      <c r="V177" s="48"/>
      <c r="W177" s="48"/>
      <c r="X177" s="48"/>
      <c r="Y177" s="48"/>
      <c r="Z177" s="48"/>
      <c r="AA177" s="48"/>
      <c r="AB177" s="48"/>
      <c r="AC177" s="48"/>
      <c r="AD177" s="48"/>
      <c r="AE177" s="48"/>
      <c r="AF177" s="48"/>
      <c r="AG177" s="48"/>
      <c r="AH177" s="48"/>
      <c r="AI177" s="48"/>
      <c r="AJ177" s="48"/>
    </row>
    <row r="178" customFormat="false" ht="15" hidden="false" customHeight="false" outlineLevel="0" collapsed="false">
      <c r="A178" s="8"/>
      <c r="B178" s="42"/>
      <c r="C178" s="43"/>
      <c r="D178" s="44"/>
      <c r="E178" s="44"/>
      <c r="F178" s="45"/>
      <c r="G178" s="46"/>
      <c r="H178" s="47"/>
      <c r="I178" s="9"/>
      <c r="J178" s="9"/>
      <c r="K178" s="43"/>
      <c r="L178" s="9"/>
      <c r="M178" s="9"/>
      <c r="N178" s="43"/>
      <c r="O178" s="48"/>
      <c r="P178" s="48"/>
      <c r="Q178" s="48"/>
      <c r="R178" s="48"/>
      <c r="S178" s="48"/>
      <c r="T178" s="48"/>
      <c r="U178" s="48"/>
      <c r="V178" s="48"/>
      <c r="W178" s="48"/>
      <c r="X178" s="48"/>
      <c r="Y178" s="48"/>
      <c r="Z178" s="48"/>
      <c r="AA178" s="48"/>
      <c r="AB178" s="48"/>
      <c r="AC178" s="48"/>
      <c r="AD178" s="48"/>
      <c r="AE178" s="48"/>
      <c r="AF178" s="48"/>
      <c r="AG178" s="48"/>
      <c r="AH178" s="48"/>
      <c r="AI178" s="48"/>
      <c r="AJ178" s="48"/>
    </row>
    <row r="179" customFormat="false" ht="15" hidden="false" customHeight="false" outlineLevel="0" collapsed="false">
      <c r="A179" s="8"/>
      <c r="B179" s="42"/>
      <c r="C179" s="43"/>
      <c r="D179" s="44"/>
      <c r="E179" s="44"/>
      <c r="F179" s="45"/>
      <c r="G179" s="46"/>
      <c r="H179" s="47"/>
      <c r="I179" s="9"/>
      <c r="J179" s="9"/>
      <c r="K179" s="43"/>
      <c r="L179" s="9"/>
      <c r="M179" s="9"/>
      <c r="N179" s="43"/>
      <c r="O179" s="48"/>
      <c r="P179" s="48"/>
      <c r="Q179" s="48"/>
      <c r="R179" s="48"/>
      <c r="S179" s="48"/>
      <c r="T179" s="48"/>
      <c r="U179" s="48"/>
      <c r="V179" s="48"/>
      <c r="W179" s="48"/>
      <c r="X179" s="48"/>
      <c r="Y179" s="48"/>
      <c r="Z179" s="48"/>
      <c r="AA179" s="48"/>
      <c r="AB179" s="48"/>
      <c r="AC179" s="48"/>
      <c r="AD179" s="48"/>
      <c r="AE179" s="48"/>
      <c r="AF179" s="48"/>
      <c r="AG179" s="48"/>
      <c r="AH179" s="48"/>
      <c r="AI179" s="48"/>
      <c r="AJ179" s="48"/>
    </row>
    <row r="180" customFormat="false" ht="15" hidden="false" customHeight="false" outlineLevel="0" collapsed="false">
      <c r="A180" s="8"/>
      <c r="B180" s="42"/>
      <c r="C180" s="43"/>
      <c r="D180" s="44"/>
      <c r="E180" s="44"/>
      <c r="F180" s="45"/>
      <c r="G180" s="46"/>
      <c r="H180" s="47"/>
      <c r="I180" s="9"/>
      <c r="J180" s="9"/>
      <c r="K180" s="43"/>
      <c r="L180" s="9"/>
      <c r="M180" s="9"/>
      <c r="N180" s="43"/>
      <c r="O180" s="48"/>
      <c r="P180" s="48"/>
      <c r="Q180" s="48"/>
      <c r="R180" s="48"/>
      <c r="S180" s="48"/>
      <c r="T180" s="48"/>
      <c r="U180" s="48"/>
      <c r="V180" s="48"/>
      <c r="W180" s="48"/>
      <c r="X180" s="48"/>
      <c r="Y180" s="48"/>
      <c r="Z180" s="48"/>
      <c r="AA180" s="48"/>
      <c r="AB180" s="48"/>
      <c r="AC180" s="48"/>
      <c r="AD180" s="48"/>
      <c r="AE180" s="48"/>
      <c r="AF180" s="48"/>
      <c r="AG180" s="48"/>
      <c r="AH180" s="48"/>
      <c r="AI180" s="48"/>
      <c r="AJ180" s="48"/>
    </row>
    <row r="181" customFormat="false" ht="15" hidden="false" customHeight="false" outlineLevel="0" collapsed="false">
      <c r="A181" s="8"/>
      <c r="B181" s="42"/>
      <c r="C181" s="43"/>
      <c r="D181" s="44"/>
      <c r="E181" s="44"/>
      <c r="F181" s="45"/>
      <c r="G181" s="46"/>
      <c r="H181" s="47"/>
      <c r="I181" s="9"/>
      <c r="J181" s="9"/>
      <c r="K181" s="43"/>
      <c r="L181" s="9"/>
      <c r="M181" s="9"/>
      <c r="N181" s="43"/>
      <c r="O181" s="48"/>
      <c r="P181" s="48"/>
      <c r="Q181" s="48"/>
      <c r="R181" s="48"/>
      <c r="S181" s="48"/>
      <c r="T181" s="48"/>
      <c r="U181" s="48"/>
      <c r="V181" s="48"/>
      <c r="W181" s="48"/>
      <c r="X181" s="48"/>
      <c r="Y181" s="48"/>
      <c r="Z181" s="48"/>
      <c r="AA181" s="48"/>
      <c r="AB181" s="48"/>
      <c r="AC181" s="48"/>
      <c r="AD181" s="48"/>
      <c r="AE181" s="48"/>
      <c r="AF181" s="48"/>
      <c r="AG181" s="48"/>
      <c r="AH181" s="48"/>
      <c r="AI181" s="48"/>
      <c r="AJ181" s="48"/>
    </row>
    <row r="182" customFormat="false" ht="15" hidden="false" customHeight="false" outlineLevel="0" collapsed="false">
      <c r="A182" s="8"/>
      <c r="B182" s="42"/>
      <c r="C182" s="43"/>
      <c r="D182" s="44"/>
      <c r="E182" s="44"/>
      <c r="F182" s="45"/>
      <c r="G182" s="46"/>
      <c r="H182" s="47"/>
      <c r="I182" s="9"/>
      <c r="J182" s="9"/>
      <c r="K182" s="43"/>
      <c r="L182" s="9"/>
      <c r="M182" s="9"/>
      <c r="N182" s="43"/>
      <c r="O182" s="48"/>
      <c r="P182" s="48"/>
      <c r="Q182" s="48"/>
      <c r="R182" s="48"/>
      <c r="S182" s="48"/>
      <c r="T182" s="48"/>
      <c r="U182" s="48"/>
      <c r="V182" s="48"/>
      <c r="W182" s="48"/>
      <c r="X182" s="48"/>
      <c r="Y182" s="48"/>
      <c r="Z182" s="48"/>
      <c r="AA182" s="48"/>
      <c r="AB182" s="48"/>
      <c r="AC182" s="48"/>
      <c r="AD182" s="48"/>
      <c r="AE182" s="48"/>
      <c r="AF182" s="48"/>
      <c r="AG182" s="48"/>
      <c r="AH182" s="48"/>
      <c r="AI182" s="48"/>
      <c r="AJ182" s="48"/>
    </row>
    <row r="183" customFormat="false" ht="15" hidden="false" customHeight="false" outlineLevel="0" collapsed="false">
      <c r="A183" s="8"/>
      <c r="B183" s="42"/>
      <c r="C183" s="43"/>
      <c r="D183" s="44"/>
      <c r="E183" s="44"/>
      <c r="F183" s="45"/>
      <c r="G183" s="46"/>
      <c r="H183" s="47"/>
      <c r="I183" s="9"/>
      <c r="J183" s="9"/>
      <c r="K183" s="43"/>
      <c r="L183" s="9"/>
      <c r="M183" s="9"/>
      <c r="N183" s="43"/>
      <c r="O183" s="48"/>
      <c r="P183" s="48"/>
      <c r="Q183" s="48"/>
      <c r="R183" s="48"/>
      <c r="S183" s="48"/>
      <c r="T183" s="48"/>
      <c r="U183" s="48"/>
      <c r="V183" s="48"/>
      <c r="W183" s="48"/>
      <c r="X183" s="48"/>
      <c r="Y183" s="48"/>
      <c r="Z183" s="48"/>
      <c r="AA183" s="48"/>
      <c r="AB183" s="48"/>
      <c r="AC183" s="48"/>
      <c r="AD183" s="48"/>
      <c r="AE183" s="48"/>
      <c r="AF183" s="48"/>
      <c r="AG183" s="48"/>
      <c r="AH183" s="48"/>
      <c r="AI183" s="48"/>
      <c r="AJ183" s="48"/>
    </row>
    <row r="184" customFormat="false" ht="15" hidden="false" customHeight="false" outlineLevel="0" collapsed="false">
      <c r="A184" s="8"/>
      <c r="B184" s="42"/>
      <c r="C184" s="43"/>
      <c r="D184" s="44"/>
      <c r="E184" s="44"/>
      <c r="F184" s="45"/>
      <c r="G184" s="46"/>
      <c r="H184" s="47"/>
      <c r="I184" s="9"/>
      <c r="J184" s="9"/>
      <c r="K184" s="43"/>
      <c r="L184" s="9"/>
      <c r="M184" s="9"/>
      <c r="N184" s="43"/>
      <c r="O184" s="48"/>
      <c r="P184" s="48"/>
      <c r="Q184" s="48"/>
      <c r="R184" s="48"/>
      <c r="S184" s="48"/>
      <c r="T184" s="48"/>
      <c r="U184" s="48"/>
      <c r="V184" s="48"/>
      <c r="W184" s="48"/>
      <c r="X184" s="48"/>
      <c r="Y184" s="48"/>
      <c r="Z184" s="48"/>
      <c r="AA184" s="48"/>
      <c r="AB184" s="48"/>
      <c r="AC184" s="48"/>
      <c r="AD184" s="48"/>
      <c r="AE184" s="48"/>
      <c r="AF184" s="48"/>
      <c r="AG184" s="48"/>
      <c r="AH184" s="48"/>
      <c r="AI184" s="48"/>
      <c r="AJ184" s="48"/>
    </row>
    <row r="185" customFormat="false" ht="15" hidden="false" customHeight="false" outlineLevel="0" collapsed="false">
      <c r="A185" s="8"/>
      <c r="B185" s="42"/>
      <c r="C185" s="43"/>
      <c r="D185" s="44"/>
      <c r="E185" s="44"/>
      <c r="F185" s="45"/>
      <c r="G185" s="46"/>
      <c r="H185" s="47"/>
      <c r="I185" s="9"/>
      <c r="J185" s="9"/>
      <c r="K185" s="43"/>
      <c r="L185" s="9"/>
      <c r="M185" s="9"/>
      <c r="N185" s="43"/>
      <c r="O185" s="48"/>
      <c r="P185" s="48"/>
      <c r="Q185" s="48"/>
      <c r="R185" s="48"/>
      <c r="S185" s="48"/>
      <c r="T185" s="48"/>
      <c r="U185" s="48"/>
      <c r="V185" s="48"/>
      <c r="W185" s="48"/>
      <c r="X185" s="48"/>
      <c r="Y185" s="48"/>
      <c r="Z185" s="48"/>
      <c r="AA185" s="48"/>
      <c r="AB185" s="48"/>
      <c r="AC185" s="48"/>
      <c r="AD185" s="48"/>
      <c r="AE185" s="48"/>
      <c r="AF185" s="48"/>
      <c r="AG185" s="48"/>
      <c r="AH185" s="48"/>
      <c r="AI185" s="48"/>
      <c r="AJ185" s="48"/>
    </row>
    <row r="186" customFormat="false" ht="15" hidden="false" customHeight="false" outlineLevel="0" collapsed="false">
      <c r="A186" s="8"/>
      <c r="B186" s="42"/>
      <c r="C186" s="43"/>
      <c r="D186" s="44"/>
      <c r="E186" s="44"/>
      <c r="F186" s="45"/>
      <c r="G186" s="46"/>
      <c r="H186" s="47"/>
      <c r="I186" s="9"/>
      <c r="J186" s="9"/>
      <c r="K186" s="43"/>
      <c r="L186" s="9"/>
      <c r="M186" s="9"/>
      <c r="N186" s="43"/>
      <c r="O186" s="48"/>
      <c r="P186" s="48"/>
      <c r="Q186" s="48"/>
      <c r="R186" s="48"/>
      <c r="S186" s="48"/>
      <c r="T186" s="48"/>
      <c r="U186" s="48"/>
      <c r="V186" s="48"/>
      <c r="W186" s="48"/>
      <c r="X186" s="48"/>
      <c r="Y186" s="48"/>
      <c r="Z186" s="48"/>
      <c r="AA186" s="48"/>
      <c r="AB186" s="48"/>
      <c r="AC186" s="48"/>
      <c r="AD186" s="48"/>
      <c r="AE186" s="48"/>
      <c r="AF186" s="48"/>
      <c r="AG186" s="48"/>
      <c r="AH186" s="48"/>
      <c r="AI186" s="48"/>
      <c r="AJ186" s="48"/>
    </row>
    <row r="187" customFormat="false" ht="15" hidden="false" customHeight="false" outlineLevel="0" collapsed="false">
      <c r="A187" s="8"/>
      <c r="B187" s="42"/>
      <c r="C187" s="43"/>
      <c r="D187" s="44"/>
      <c r="E187" s="44"/>
      <c r="F187" s="45"/>
      <c r="G187" s="46"/>
      <c r="H187" s="47"/>
      <c r="I187" s="9"/>
      <c r="J187" s="9"/>
      <c r="K187" s="43"/>
      <c r="L187" s="9"/>
      <c r="M187" s="9"/>
      <c r="N187" s="43"/>
      <c r="O187" s="48"/>
      <c r="P187" s="48"/>
      <c r="Q187" s="48"/>
      <c r="R187" s="48"/>
      <c r="S187" s="48"/>
      <c r="T187" s="48"/>
      <c r="U187" s="48"/>
      <c r="V187" s="48"/>
      <c r="W187" s="48"/>
      <c r="X187" s="48"/>
      <c r="Y187" s="48"/>
      <c r="Z187" s="48"/>
      <c r="AA187" s="48"/>
      <c r="AB187" s="48"/>
      <c r="AC187" s="48"/>
      <c r="AD187" s="48"/>
      <c r="AE187" s="48"/>
      <c r="AF187" s="48"/>
      <c r="AG187" s="48"/>
      <c r="AH187" s="48"/>
      <c r="AI187" s="48"/>
      <c r="AJ187" s="48"/>
    </row>
    <row r="188" customFormat="false" ht="15" hidden="false" customHeight="false" outlineLevel="0" collapsed="false">
      <c r="A188" s="8"/>
      <c r="B188" s="42"/>
      <c r="C188" s="43"/>
      <c r="D188" s="44"/>
      <c r="E188" s="44"/>
      <c r="F188" s="45"/>
      <c r="G188" s="46"/>
      <c r="H188" s="47"/>
      <c r="I188" s="9"/>
      <c r="J188" s="9"/>
      <c r="K188" s="43"/>
      <c r="L188" s="9"/>
      <c r="M188" s="9"/>
      <c r="N188" s="43"/>
      <c r="O188" s="48"/>
      <c r="P188" s="48"/>
      <c r="Q188" s="48"/>
      <c r="R188" s="48"/>
      <c r="S188" s="48"/>
      <c r="T188" s="48"/>
      <c r="U188" s="48"/>
      <c r="V188" s="48"/>
      <c r="W188" s="48"/>
      <c r="X188" s="48"/>
      <c r="Y188" s="48"/>
      <c r="Z188" s="48"/>
      <c r="AA188" s="48"/>
      <c r="AB188" s="48"/>
      <c r="AC188" s="48"/>
      <c r="AD188" s="48"/>
      <c r="AE188" s="48"/>
      <c r="AF188" s="48"/>
      <c r="AG188" s="48"/>
      <c r="AH188" s="48"/>
      <c r="AI188" s="48"/>
      <c r="AJ188" s="48"/>
    </row>
    <row r="189" customFormat="false" ht="15" hidden="false" customHeight="false" outlineLevel="0" collapsed="false">
      <c r="A189" s="8"/>
      <c r="B189" s="42"/>
      <c r="C189" s="43"/>
      <c r="D189" s="44"/>
      <c r="E189" s="44"/>
      <c r="F189" s="45"/>
      <c r="G189" s="46"/>
      <c r="H189" s="47"/>
      <c r="I189" s="9"/>
      <c r="J189" s="9"/>
      <c r="K189" s="43"/>
      <c r="L189" s="9"/>
      <c r="M189" s="9"/>
      <c r="N189" s="43"/>
      <c r="O189" s="48"/>
      <c r="P189" s="48"/>
      <c r="Q189" s="48"/>
      <c r="R189" s="48"/>
      <c r="S189" s="48"/>
      <c r="T189" s="48"/>
      <c r="U189" s="48"/>
      <c r="V189" s="48"/>
      <c r="W189" s="48"/>
      <c r="X189" s="48"/>
      <c r="Y189" s="48"/>
      <c r="Z189" s="48"/>
      <c r="AA189" s="48"/>
      <c r="AB189" s="48"/>
      <c r="AC189" s="48"/>
      <c r="AD189" s="48"/>
      <c r="AE189" s="48"/>
      <c r="AF189" s="48"/>
      <c r="AG189" s="48"/>
      <c r="AH189" s="48"/>
      <c r="AI189" s="48"/>
      <c r="AJ189" s="48"/>
    </row>
    <row r="190" customFormat="false" ht="15" hidden="false" customHeight="false" outlineLevel="0" collapsed="false">
      <c r="A190" s="8"/>
      <c r="B190" s="42"/>
      <c r="C190" s="43"/>
      <c r="D190" s="44"/>
      <c r="E190" s="44"/>
      <c r="F190" s="45"/>
      <c r="G190" s="46"/>
      <c r="H190" s="47"/>
      <c r="I190" s="9"/>
      <c r="J190" s="9"/>
      <c r="K190" s="43"/>
      <c r="L190" s="9"/>
      <c r="M190" s="9"/>
      <c r="N190" s="43"/>
      <c r="O190" s="48"/>
      <c r="P190" s="48"/>
      <c r="Q190" s="48"/>
      <c r="R190" s="48"/>
      <c r="S190" s="48"/>
      <c r="T190" s="48"/>
      <c r="U190" s="48"/>
      <c r="V190" s="48"/>
      <c r="W190" s="48"/>
      <c r="X190" s="48"/>
      <c r="Y190" s="48"/>
      <c r="Z190" s="48"/>
      <c r="AA190" s="48"/>
      <c r="AB190" s="48"/>
      <c r="AC190" s="48"/>
      <c r="AD190" s="48"/>
      <c r="AE190" s="48"/>
      <c r="AF190" s="48"/>
      <c r="AG190" s="48"/>
      <c r="AH190" s="48"/>
      <c r="AI190" s="48"/>
      <c r="AJ190" s="48"/>
    </row>
    <row r="191" customFormat="false" ht="15" hidden="false" customHeight="false" outlineLevel="0" collapsed="false">
      <c r="A191" s="8"/>
      <c r="B191" s="42"/>
      <c r="C191" s="43"/>
      <c r="D191" s="44"/>
      <c r="E191" s="44"/>
      <c r="F191" s="45"/>
      <c r="G191" s="46"/>
      <c r="H191" s="47"/>
      <c r="I191" s="9"/>
      <c r="J191" s="9"/>
      <c r="K191" s="43"/>
      <c r="L191" s="9"/>
      <c r="M191" s="9"/>
      <c r="N191" s="43"/>
      <c r="O191" s="48"/>
      <c r="P191" s="48"/>
      <c r="Q191" s="48"/>
      <c r="R191" s="48"/>
      <c r="S191" s="48"/>
      <c r="T191" s="48"/>
      <c r="U191" s="48"/>
      <c r="V191" s="48"/>
      <c r="W191" s="48"/>
      <c r="X191" s="48"/>
      <c r="Y191" s="48"/>
      <c r="Z191" s="48"/>
      <c r="AA191" s="48"/>
      <c r="AB191" s="48"/>
      <c r="AC191" s="48"/>
      <c r="AD191" s="48"/>
      <c r="AE191" s="48"/>
      <c r="AF191" s="48"/>
      <c r="AG191" s="48"/>
      <c r="AH191" s="48"/>
      <c r="AI191" s="48"/>
      <c r="AJ191" s="48"/>
    </row>
    <row r="192" customFormat="false" ht="15" hidden="false" customHeight="false" outlineLevel="0" collapsed="false">
      <c r="A192" s="8"/>
      <c r="B192" s="42"/>
      <c r="C192" s="43"/>
      <c r="D192" s="44"/>
      <c r="E192" s="44"/>
      <c r="F192" s="45"/>
      <c r="G192" s="46"/>
      <c r="H192" s="47"/>
      <c r="I192" s="9"/>
      <c r="J192" s="9"/>
      <c r="K192" s="43"/>
      <c r="L192" s="9"/>
      <c r="M192" s="9"/>
      <c r="N192" s="43"/>
      <c r="O192" s="48"/>
      <c r="P192" s="48"/>
      <c r="Q192" s="48"/>
      <c r="R192" s="48"/>
      <c r="S192" s="48"/>
      <c r="T192" s="48"/>
      <c r="U192" s="48"/>
      <c r="V192" s="48"/>
      <c r="W192" s="48"/>
      <c r="X192" s="48"/>
      <c r="Y192" s="48"/>
      <c r="Z192" s="48"/>
      <c r="AA192" s="48"/>
      <c r="AB192" s="48"/>
      <c r="AC192" s="48"/>
      <c r="AD192" s="48"/>
      <c r="AE192" s="48"/>
      <c r="AF192" s="48"/>
      <c r="AG192" s="48"/>
      <c r="AH192" s="48"/>
      <c r="AI192" s="48"/>
      <c r="AJ192" s="48"/>
    </row>
    <row r="193" customFormat="false" ht="15" hidden="false" customHeight="false" outlineLevel="0" collapsed="false">
      <c r="A193" s="8"/>
      <c r="B193" s="42"/>
      <c r="C193" s="43"/>
      <c r="D193" s="44"/>
      <c r="E193" s="44"/>
      <c r="F193" s="45"/>
      <c r="G193" s="46"/>
      <c r="H193" s="47"/>
      <c r="I193" s="9"/>
      <c r="J193" s="9"/>
      <c r="K193" s="43"/>
      <c r="L193" s="9"/>
      <c r="M193" s="9"/>
      <c r="N193" s="43"/>
      <c r="O193" s="48"/>
      <c r="P193" s="48"/>
      <c r="Q193" s="48"/>
      <c r="R193" s="48"/>
      <c r="S193" s="48"/>
      <c r="T193" s="48"/>
      <c r="U193" s="48"/>
      <c r="V193" s="48"/>
      <c r="W193" s="48"/>
      <c r="X193" s="48"/>
      <c r="Y193" s="48"/>
      <c r="Z193" s="48"/>
      <c r="AA193" s="48"/>
      <c r="AB193" s="48"/>
      <c r="AC193" s="48"/>
      <c r="AD193" s="48"/>
      <c r="AE193" s="48"/>
      <c r="AF193" s="48"/>
      <c r="AG193" s="48"/>
      <c r="AH193" s="48"/>
      <c r="AI193" s="48"/>
      <c r="AJ193" s="48"/>
    </row>
    <row r="194" customFormat="false" ht="15" hidden="false" customHeight="false" outlineLevel="0" collapsed="false">
      <c r="A194" s="8"/>
      <c r="B194" s="42"/>
      <c r="C194" s="43"/>
      <c r="D194" s="44"/>
      <c r="E194" s="44"/>
      <c r="F194" s="45"/>
      <c r="G194" s="46"/>
      <c r="H194" s="47"/>
      <c r="I194" s="9"/>
      <c r="J194" s="9"/>
      <c r="K194" s="43"/>
      <c r="L194" s="9"/>
      <c r="M194" s="9"/>
      <c r="N194" s="43"/>
      <c r="O194" s="48"/>
      <c r="P194" s="48"/>
      <c r="Q194" s="48"/>
      <c r="R194" s="48"/>
      <c r="S194" s="48"/>
      <c r="T194" s="48"/>
      <c r="U194" s="48"/>
      <c r="V194" s="48"/>
      <c r="W194" s="48"/>
      <c r="X194" s="48"/>
      <c r="Y194" s="48"/>
      <c r="Z194" s="48"/>
      <c r="AA194" s="48"/>
      <c r="AB194" s="48"/>
      <c r="AC194" s="48"/>
      <c r="AD194" s="48"/>
      <c r="AE194" s="48"/>
      <c r="AF194" s="48"/>
      <c r="AG194" s="48"/>
      <c r="AH194" s="48"/>
      <c r="AI194" s="48"/>
      <c r="AJ194" s="48"/>
    </row>
    <row r="195" customFormat="false" ht="15" hidden="false" customHeight="false" outlineLevel="0" collapsed="false">
      <c r="A195" s="8"/>
      <c r="B195" s="42"/>
      <c r="C195" s="43"/>
      <c r="D195" s="44"/>
      <c r="E195" s="44"/>
      <c r="F195" s="45"/>
      <c r="G195" s="46"/>
      <c r="H195" s="47"/>
      <c r="I195" s="9"/>
      <c r="J195" s="9"/>
      <c r="K195" s="43"/>
      <c r="L195" s="9"/>
      <c r="M195" s="9"/>
      <c r="N195" s="43"/>
      <c r="O195" s="48"/>
      <c r="P195" s="48"/>
      <c r="Q195" s="48"/>
      <c r="R195" s="48"/>
      <c r="S195" s="48"/>
      <c r="T195" s="48"/>
      <c r="U195" s="48"/>
      <c r="V195" s="48"/>
      <c r="W195" s="48"/>
      <c r="X195" s="48"/>
      <c r="Y195" s="48"/>
      <c r="Z195" s="48"/>
      <c r="AA195" s="48"/>
      <c r="AB195" s="48"/>
      <c r="AC195" s="48"/>
      <c r="AD195" s="48"/>
      <c r="AE195" s="48"/>
      <c r="AF195" s="48"/>
      <c r="AG195" s="48"/>
      <c r="AH195" s="48"/>
      <c r="AI195" s="48"/>
      <c r="AJ195" s="48"/>
    </row>
    <row r="196" customFormat="false" ht="15" hidden="false" customHeight="false" outlineLevel="0" collapsed="false">
      <c r="A196" s="8"/>
      <c r="B196" s="42"/>
      <c r="C196" s="43"/>
      <c r="D196" s="44"/>
      <c r="E196" s="44"/>
      <c r="F196" s="45"/>
      <c r="G196" s="46"/>
      <c r="H196" s="47"/>
      <c r="I196" s="9"/>
      <c r="J196" s="9"/>
      <c r="K196" s="43"/>
      <c r="L196" s="9"/>
      <c r="M196" s="9"/>
      <c r="N196" s="43"/>
      <c r="O196" s="48"/>
      <c r="P196" s="48"/>
      <c r="Q196" s="48"/>
      <c r="R196" s="48"/>
      <c r="S196" s="48"/>
      <c r="T196" s="48"/>
      <c r="U196" s="48"/>
      <c r="V196" s="48"/>
      <c r="W196" s="48"/>
      <c r="X196" s="48"/>
      <c r="Y196" s="48"/>
      <c r="Z196" s="48"/>
      <c r="AA196" s="48"/>
      <c r="AB196" s="48"/>
      <c r="AC196" s="48"/>
      <c r="AD196" s="48"/>
      <c r="AE196" s="48"/>
      <c r="AF196" s="48"/>
      <c r="AG196" s="48"/>
      <c r="AH196" s="48"/>
      <c r="AI196" s="48"/>
      <c r="AJ196" s="48"/>
    </row>
    <row r="197" customFormat="false" ht="15" hidden="false" customHeight="false" outlineLevel="0" collapsed="false">
      <c r="A197" s="8"/>
      <c r="B197" s="42"/>
      <c r="C197" s="43"/>
      <c r="D197" s="44"/>
      <c r="E197" s="44"/>
      <c r="F197" s="45"/>
      <c r="G197" s="46"/>
      <c r="H197" s="47"/>
      <c r="I197" s="9"/>
      <c r="J197" s="9"/>
      <c r="K197" s="43"/>
      <c r="L197" s="9"/>
      <c r="M197" s="9"/>
      <c r="N197" s="43"/>
      <c r="O197" s="48"/>
      <c r="P197" s="48"/>
      <c r="Q197" s="48"/>
      <c r="R197" s="48"/>
      <c r="S197" s="48"/>
      <c r="T197" s="48"/>
      <c r="U197" s="48"/>
      <c r="V197" s="48"/>
      <c r="W197" s="48"/>
      <c r="X197" s="48"/>
      <c r="Y197" s="48"/>
      <c r="Z197" s="48"/>
      <c r="AA197" s="48"/>
      <c r="AB197" s="48"/>
      <c r="AC197" s="48"/>
      <c r="AD197" s="48"/>
      <c r="AE197" s="48"/>
      <c r="AF197" s="48"/>
      <c r="AG197" s="48"/>
      <c r="AH197" s="48"/>
      <c r="AI197" s="48"/>
      <c r="AJ197" s="48"/>
    </row>
    <row r="198" customFormat="false" ht="15" hidden="false" customHeight="false" outlineLevel="0" collapsed="false">
      <c r="A198" s="8"/>
      <c r="B198" s="42"/>
      <c r="C198" s="43"/>
      <c r="D198" s="44"/>
      <c r="E198" s="44"/>
      <c r="F198" s="45"/>
      <c r="G198" s="46"/>
      <c r="H198" s="47"/>
      <c r="I198" s="9"/>
      <c r="J198" s="9"/>
      <c r="K198" s="43"/>
      <c r="L198" s="9"/>
      <c r="M198" s="9"/>
      <c r="N198" s="43"/>
      <c r="O198" s="48"/>
      <c r="P198" s="48"/>
      <c r="Q198" s="48"/>
      <c r="R198" s="48"/>
      <c r="S198" s="48"/>
      <c r="T198" s="48"/>
      <c r="U198" s="48"/>
      <c r="V198" s="48"/>
      <c r="W198" s="48"/>
      <c r="X198" s="48"/>
      <c r="Y198" s="48"/>
      <c r="Z198" s="48"/>
      <c r="AA198" s="48"/>
      <c r="AB198" s="48"/>
      <c r="AC198" s="48"/>
      <c r="AD198" s="48"/>
      <c r="AE198" s="48"/>
      <c r="AF198" s="48"/>
      <c r="AG198" s="48"/>
      <c r="AH198" s="48"/>
      <c r="AI198" s="48"/>
      <c r="AJ198" s="48"/>
    </row>
    <row r="199" customFormat="false" ht="15" hidden="false" customHeight="false" outlineLevel="0" collapsed="false">
      <c r="A199" s="8"/>
      <c r="B199" s="42"/>
      <c r="C199" s="43"/>
      <c r="D199" s="44"/>
      <c r="E199" s="44"/>
      <c r="F199" s="45"/>
      <c r="G199" s="46"/>
      <c r="H199" s="47"/>
      <c r="I199" s="9"/>
      <c r="J199" s="9"/>
      <c r="K199" s="43"/>
      <c r="L199" s="9"/>
      <c r="M199" s="9"/>
      <c r="N199" s="43"/>
      <c r="O199" s="48"/>
      <c r="P199" s="48"/>
      <c r="Q199" s="48"/>
      <c r="R199" s="48"/>
      <c r="S199" s="48"/>
      <c r="T199" s="48"/>
      <c r="U199" s="48"/>
      <c r="V199" s="48"/>
      <c r="W199" s="48"/>
      <c r="X199" s="48"/>
      <c r="Y199" s="48"/>
      <c r="Z199" s="48"/>
      <c r="AA199" s="48"/>
      <c r="AB199" s="48"/>
      <c r="AC199" s="48"/>
      <c r="AD199" s="48"/>
      <c r="AE199" s="48"/>
      <c r="AF199" s="48"/>
      <c r="AG199" s="48"/>
      <c r="AH199" s="48"/>
      <c r="AI199" s="48"/>
      <c r="AJ199" s="48"/>
    </row>
    <row r="200" customFormat="false" ht="15" hidden="false" customHeight="false" outlineLevel="0" collapsed="false">
      <c r="A200" s="8"/>
      <c r="B200" s="42"/>
      <c r="C200" s="43"/>
      <c r="D200" s="44"/>
      <c r="E200" s="44"/>
      <c r="F200" s="45"/>
      <c r="G200" s="46"/>
      <c r="H200" s="47"/>
      <c r="I200" s="9"/>
      <c r="J200" s="9"/>
      <c r="K200" s="43"/>
      <c r="L200" s="9"/>
      <c r="M200" s="9"/>
      <c r="N200" s="43"/>
      <c r="O200" s="48"/>
      <c r="P200" s="48"/>
      <c r="Q200" s="48"/>
      <c r="R200" s="48"/>
      <c r="S200" s="48"/>
      <c r="T200" s="48"/>
      <c r="U200" s="48"/>
      <c r="V200" s="48"/>
      <c r="W200" s="48"/>
      <c r="X200" s="48"/>
      <c r="Y200" s="48"/>
      <c r="Z200" s="48"/>
      <c r="AA200" s="48"/>
      <c r="AB200" s="48"/>
      <c r="AC200" s="48"/>
      <c r="AD200" s="48"/>
      <c r="AE200" s="48"/>
      <c r="AF200" s="48"/>
      <c r="AG200" s="48"/>
      <c r="AH200" s="48"/>
      <c r="AI200" s="48"/>
      <c r="AJ200" s="48"/>
    </row>
    <row r="201" customFormat="false" ht="15" hidden="false" customHeight="false" outlineLevel="0" collapsed="false">
      <c r="A201" s="8"/>
      <c r="B201" s="42"/>
      <c r="C201" s="43"/>
      <c r="D201" s="44"/>
      <c r="E201" s="44"/>
      <c r="F201" s="45"/>
      <c r="G201" s="46"/>
      <c r="H201" s="47"/>
      <c r="I201" s="9"/>
      <c r="J201" s="9"/>
      <c r="K201" s="43"/>
      <c r="L201" s="9"/>
      <c r="M201" s="9"/>
      <c r="N201" s="43"/>
      <c r="O201" s="48"/>
      <c r="P201" s="48"/>
      <c r="Q201" s="48"/>
      <c r="R201" s="48"/>
      <c r="S201" s="48"/>
      <c r="T201" s="48"/>
      <c r="U201" s="48"/>
      <c r="V201" s="48"/>
      <c r="W201" s="48"/>
      <c r="X201" s="48"/>
      <c r="Y201" s="48"/>
      <c r="Z201" s="48"/>
      <c r="AA201" s="48"/>
      <c r="AB201" s="48"/>
      <c r="AC201" s="48"/>
      <c r="AD201" s="48"/>
      <c r="AE201" s="48"/>
      <c r="AF201" s="48"/>
      <c r="AG201" s="48"/>
      <c r="AH201" s="48"/>
      <c r="AI201" s="48"/>
      <c r="AJ201" s="48"/>
    </row>
    <row r="202" customFormat="false" ht="15" hidden="false" customHeight="false" outlineLevel="0" collapsed="false">
      <c r="A202" s="8"/>
      <c r="B202" s="42"/>
      <c r="C202" s="43"/>
      <c r="D202" s="44"/>
      <c r="E202" s="44"/>
      <c r="F202" s="45"/>
      <c r="G202" s="46"/>
      <c r="H202" s="47"/>
      <c r="I202" s="9"/>
      <c r="J202" s="9"/>
      <c r="K202" s="43"/>
      <c r="L202" s="9"/>
      <c r="M202" s="9"/>
      <c r="N202" s="43"/>
      <c r="O202" s="48"/>
      <c r="P202" s="48"/>
      <c r="Q202" s="48"/>
      <c r="R202" s="48"/>
      <c r="S202" s="48"/>
      <c r="T202" s="48"/>
      <c r="U202" s="48"/>
      <c r="V202" s="48"/>
      <c r="W202" s="48"/>
      <c r="X202" s="48"/>
      <c r="Y202" s="48"/>
      <c r="Z202" s="48"/>
      <c r="AA202" s="48"/>
      <c r="AB202" s="48"/>
      <c r="AC202" s="48"/>
      <c r="AD202" s="48"/>
      <c r="AE202" s="48"/>
      <c r="AF202" s="48"/>
      <c r="AG202" s="48"/>
      <c r="AH202" s="48"/>
      <c r="AI202" s="48"/>
      <c r="AJ202" s="48"/>
    </row>
    <row r="203" customFormat="false" ht="15" hidden="false" customHeight="false" outlineLevel="0" collapsed="false">
      <c r="A203" s="8"/>
      <c r="B203" s="42"/>
      <c r="C203" s="43"/>
      <c r="D203" s="44"/>
      <c r="E203" s="44"/>
      <c r="F203" s="45"/>
      <c r="G203" s="46"/>
      <c r="H203" s="47"/>
      <c r="I203" s="9"/>
      <c r="J203" s="9"/>
      <c r="K203" s="43"/>
      <c r="L203" s="9"/>
      <c r="M203" s="9"/>
      <c r="N203" s="43"/>
      <c r="O203" s="48"/>
      <c r="P203" s="48"/>
      <c r="Q203" s="48"/>
      <c r="R203" s="48"/>
      <c r="S203" s="48"/>
      <c r="T203" s="48"/>
      <c r="U203" s="48"/>
      <c r="V203" s="48"/>
      <c r="W203" s="48"/>
      <c r="X203" s="48"/>
      <c r="Y203" s="48"/>
      <c r="Z203" s="48"/>
      <c r="AA203" s="48"/>
      <c r="AB203" s="48"/>
      <c r="AC203" s="48"/>
      <c r="AD203" s="48"/>
      <c r="AE203" s="48"/>
      <c r="AF203" s="48"/>
      <c r="AG203" s="48"/>
      <c r="AH203" s="48"/>
      <c r="AI203" s="48"/>
      <c r="AJ203" s="48"/>
    </row>
    <row r="204" customFormat="false" ht="15" hidden="false" customHeight="false" outlineLevel="0" collapsed="false">
      <c r="A204" s="8"/>
      <c r="B204" s="42"/>
      <c r="C204" s="43"/>
      <c r="D204" s="44"/>
      <c r="E204" s="44"/>
      <c r="F204" s="45"/>
      <c r="G204" s="46"/>
      <c r="H204" s="47"/>
      <c r="I204" s="9"/>
      <c r="J204" s="9"/>
      <c r="K204" s="43"/>
      <c r="L204" s="9"/>
      <c r="M204" s="9"/>
      <c r="N204" s="43"/>
      <c r="O204" s="48"/>
      <c r="P204" s="48"/>
      <c r="Q204" s="48"/>
      <c r="R204" s="48"/>
      <c r="S204" s="48"/>
      <c r="T204" s="48"/>
      <c r="U204" s="48"/>
      <c r="V204" s="48"/>
      <c r="W204" s="48"/>
      <c r="X204" s="48"/>
      <c r="Y204" s="48"/>
      <c r="Z204" s="48"/>
      <c r="AA204" s="48"/>
      <c r="AB204" s="48"/>
      <c r="AC204" s="48"/>
      <c r="AD204" s="48"/>
      <c r="AE204" s="48"/>
      <c r="AF204" s="48"/>
      <c r="AG204" s="48"/>
      <c r="AH204" s="48"/>
      <c r="AI204" s="48"/>
      <c r="AJ204" s="48"/>
    </row>
    <row r="205" customFormat="false" ht="15" hidden="false" customHeight="false" outlineLevel="0" collapsed="false">
      <c r="A205" s="8"/>
      <c r="B205" s="42"/>
      <c r="C205" s="43"/>
      <c r="D205" s="44"/>
      <c r="E205" s="44"/>
      <c r="F205" s="45"/>
      <c r="G205" s="46"/>
      <c r="H205" s="47"/>
      <c r="I205" s="9"/>
      <c r="J205" s="9"/>
      <c r="K205" s="43"/>
      <c r="L205" s="9"/>
      <c r="M205" s="9"/>
      <c r="N205" s="43"/>
      <c r="O205" s="48"/>
      <c r="P205" s="48"/>
      <c r="Q205" s="48"/>
      <c r="R205" s="48"/>
      <c r="S205" s="48"/>
      <c r="T205" s="48"/>
      <c r="U205" s="48"/>
      <c r="V205" s="48"/>
      <c r="W205" s="48"/>
      <c r="X205" s="48"/>
      <c r="Y205" s="48"/>
      <c r="Z205" s="48"/>
      <c r="AA205" s="48"/>
      <c r="AB205" s="48"/>
      <c r="AC205" s="48"/>
      <c r="AD205" s="48"/>
      <c r="AE205" s="48"/>
      <c r="AF205" s="48"/>
      <c r="AG205" s="48"/>
      <c r="AH205" s="48"/>
      <c r="AI205" s="48"/>
      <c r="AJ205" s="48"/>
    </row>
    <row r="206" customFormat="false" ht="15" hidden="false" customHeight="false" outlineLevel="0" collapsed="false">
      <c r="A206" s="8"/>
      <c r="B206" s="42"/>
      <c r="C206" s="43"/>
      <c r="D206" s="44"/>
      <c r="E206" s="44"/>
      <c r="F206" s="45"/>
      <c r="G206" s="46"/>
      <c r="H206" s="47"/>
      <c r="I206" s="9"/>
      <c r="J206" s="9"/>
      <c r="K206" s="43"/>
      <c r="L206" s="9"/>
      <c r="M206" s="9"/>
      <c r="N206" s="43"/>
      <c r="O206" s="48"/>
      <c r="P206" s="48"/>
      <c r="Q206" s="48"/>
      <c r="R206" s="48"/>
      <c r="S206" s="48"/>
      <c r="T206" s="48"/>
      <c r="U206" s="48"/>
      <c r="V206" s="48"/>
      <c r="W206" s="48"/>
      <c r="X206" s="48"/>
      <c r="Y206" s="48"/>
      <c r="Z206" s="48"/>
      <c r="AA206" s="48"/>
      <c r="AB206" s="48"/>
      <c r="AC206" s="48"/>
      <c r="AD206" s="48"/>
      <c r="AE206" s="48"/>
      <c r="AF206" s="48"/>
      <c r="AG206" s="48"/>
      <c r="AH206" s="48"/>
      <c r="AI206" s="48"/>
      <c r="AJ206" s="48"/>
    </row>
    <row r="207" customFormat="false" ht="15" hidden="false" customHeight="false" outlineLevel="0" collapsed="false">
      <c r="A207" s="8"/>
      <c r="B207" s="42"/>
      <c r="C207" s="43"/>
      <c r="D207" s="44"/>
      <c r="E207" s="44"/>
      <c r="F207" s="45"/>
      <c r="G207" s="46"/>
      <c r="H207" s="47"/>
      <c r="I207" s="9"/>
      <c r="J207" s="9"/>
      <c r="K207" s="43"/>
      <c r="L207" s="9"/>
      <c r="M207" s="9"/>
      <c r="N207" s="43"/>
      <c r="O207" s="48"/>
      <c r="P207" s="48"/>
      <c r="Q207" s="48"/>
      <c r="R207" s="48"/>
      <c r="S207" s="48"/>
      <c r="T207" s="48"/>
      <c r="U207" s="48"/>
      <c r="V207" s="48"/>
      <c r="W207" s="48"/>
      <c r="X207" s="48"/>
      <c r="Y207" s="48"/>
      <c r="Z207" s="48"/>
      <c r="AA207" s="48"/>
      <c r="AB207" s="48"/>
      <c r="AC207" s="48"/>
      <c r="AD207" s="48"/>
      <c r="AE207" s="48"/>
      <c r="AF207" s="48"/>
      <c r="AG207" s="48"/>
      <c r="AH207" s="48"/>
      <c r="AI207" s="48"/>
      <c r="AJ207" s="48"/>
    </row>
    <row r="208" customFormat="false" ht="15" hidden="false" customHeight="false" outlineLevel="0" collapsed="false">
      <c r="A208" s="8"/>
      <c r="B208" s="42"/>
      <c r="C208" s="43"/>
      <c r="D208" s="44"/>
      <c r="E208" s="44"/>
      <c r="F208" s="45"/>
      <c r="G208" s="46"/>
      <c r="H208" s="47"/>
      <c r="I208" s="9"/>
      <c r="J208" s="9"/>
      <c r="K208" s="43"/>
      <c r="L208" s="9"/>
      <c r="M208" s="9"/>
      <c r="N208" s="43"/>
      <c r="O208" s="48"/>
      <c r="P208" s="48"/>
      <c r="Q208" s="48"/>
      <c r="R208" s="48"/>
      <c r="S208" s="48"/>
      <c r="T208" s="48"/>
      <c r="U208" s="48"/>
      <c r="V208" s="48"/>
      <c r="W208" s="48"/>
      <c r="X208" s="48"/>
      <c r="Y208" s="48"/>
      <c r="Z208" s="48"/>
      <c r="AA208" s="48"/>
      <c r="AB208" s="48"/>
      <c r="AC208" s="48"/>
      <c r="AD208" s="48"/>
      <c r="AE208" s="48"/>
      <c r="AF208" s="48"/>
      <c r="AG208" s="48"/>
      <c r="AH208" s="48"/>
      <c r="AI208" s="48"/>
      <c r="AJ208" s="48"/>
    </row>
    <row r="209" customFormat="false" ht="15" hidden="false" customHeight="false" outlineLevel="0" collapsed="false">
      <c r="A209" s="8"/>
      <c r="B209" s="42"/>
      <c r="C209" s="43"/>
      <c r="D209" s="44"/>
      <c r="E209" s="44"/>
      <c r="F209" s="45"/>
      <c r="G209" s="46"/>
      <c r="H209" s="47"/>
      <c r="I209" s="9"/>
      <c r="J209" s="9"/>
      <c r="K209" s="43"/>
      <c r="L209" s="9"/>
      <c r="M209" s="9"/>
      <c r="N209" s="43"/>
      <c r="O209" s="48"/>
      <c r="P209" s="48"/>
      <c r="Q209" s="48"/>
      <c r="R209" s="48"/>
      <c r="S209" s="48"/>
      <c r="T209" s="48"/>
      <c r="U209" s="48"/>
      <c r="V209" s="48"/>
      <c r="W209" s="48"/>
      <c r="X209" s="48"/>
      <c r="Y209" s="48"/>
      <c r="Z209" s="48"/>
      <c r="AA209" s="48"/>
      <c r="AB209" s="48"/>
      <c r="AC209" s="48"/>
      <c r="AD209" s="48"/>
      <c r="AE209" s="48"/>
      <c r="AF209" s="48"/>
      <c r="AG209" s="48"/>
      <c r="AH209" s="48"/>
      <c r="AI209" s="48"/>
      <c r="AJ209" s="48"/>
    </row>
    <row r="210" customFormat="false" ht="15" hidden="false" customHeight="false" outlineLevel="0" collapsed="false">
      <c r="A210" s="8"/>
      <c r="B210" s="42"/>
      <c r="C210" s="43"/>
      <c r="D210" s="44"/>
      <c r="E210" s="44"/>
      <c r="F210" s="45"/>
      <c r="G210" s="46"/>
      <c r="H210" s="47"/>
      <c r="I210" s="9"/>
      <c r="J210" s="9"/>
      <c r="K210" s="43"/>
      <c r="L210" s="9"/>
      <c r="M210" s="9"/>
      <c r="N210" s="43"/>
      <c r="O210" s="48"/>
      <c r="P210" s="48"/>
      <c r="Q210" s="48"/>
      <c r="R210" s="48"/>
      <c r="S210" s="48"/>
      <c r="T210" s="48"/>
      <c r="U210" s="48"/>
      <c r="V210" s="48"/>
      <c r="W210" s="48"/>
      <c r="X210" s="48"/>
      <c r="Y210" s="48"/>
      <c r="Z210" s="48"/>
      <c r="AA210" s="48"/>
      <c r="AB210" s="48"/>
      <c r="AC210" s="48"/>
      <c r="AD210" s="48"/>
      <c r="AE210" s="48"/>
      <c r="AF210" s="48"/>
      <c r="AG210" s="48"/>
      <c r="AH210" s="48"/>
      <c r="AI210" s="48"/>
      <c r="AJ210" s="48"/>
    </row>
    <row r="211" customFormat="false" ht="15" hidden="false" customHeight="false" outlineLevel="0" collapsed="false">
      <c r="A211" s="8"/>
      <c r="B211" s="42"/>
      <c r="C211" s="43"/>
      <c r="D211" s="44"/>
      <c r="E211" s="44"/>
      <c r="F211" s="45"/>
      <c r="G211" s="46"/>
      <c r="H211" s="47"/>
      <c r="I211" s="9"/>
      <c r="J211" s="9"/>
      <c r="K211" s="43"/>
      <c r="L211" s="9"/>
      <c r="M211" s="9"/>
      <c r="N211" s="43"/>
      <c r="O211" s="48"/>
      <c r="P211" s="48"/>
      <c r="Q211" s="48"/>
      <c r="R211" s="48"/>
      <c r="S211" s="48"/>
      <c r="T211" s="48"/>
      <c r="U211" s="48"/>
      <c r="V211" s="48"/>
      <c r="W211" s="48"/>
      <c r="X211" s="48"/>
      <c r="Y211" s="48"/>
      <c r="Z211" s="48"/>
      <c r="AA211" s="48"/>
      <c r="AB211" s="48"/>
      <c r="AC211" s="48"/>
      <c r="AD211" s="48"/>
      <c r="AE211" s="48"/>
      <c r="AF211" s="48"/>
      <c r="AG211" s="48"/>
      <c r="AH211" s="48"/>
      <c r="AI211" s="48"/>
      <c r="AJ211" s="48"/>
    </row>
    <row r="212" customFormat="false" ht="15" hidden="false" customHeight="false" outlineLevel="0" collapsed="false">
      <c r="A212" s="8"/>
      <c r="B212" s="42"/>
      <c r="C212" s="43"/>
      <c r="D212" s="44"/>
      <c r="E212" s="44"/>
      <c r="F212" s="45"/>
      <c r="G212" s="46"/>
      <c r="H212" s="47"/>
      <c r="I212" s="9"/>
      <c r="J212" s="9"/>
      <c r="K212" s="43"/>
      <c r="L212" s="9"/>
      <c r="M212" s="9"/>
      <c r="N212" s="43"/>
      <c r="O212" s="48"/>
      <c r="P212" s="48"/>
      <c r="Q212" s="48"/>
      <c r="R212" s="48"/>
      <c r="S212" s="48"/>
      <c r="T212" s="48"/>
      <c r="U212" s="48"/>
      <c r="V212" s="48"/>
      <c r="W212" s="48"/>
      <c r="X212" s="48"/>
      <c r="Y212" s="48"/>
      <c r="Z212" s="48"/>
      <c r="AA212" s="48"/>
      <c r="AB212" s="48"/>
      <c r="AC212" s="48"/>
      <c r="AD212" s="48"/>
      <c r="AE212" s="48"/>
      <c r="AF212" s="48"/>
      <c r="AG212" s="48"/>
      <c r="AH212" s="48"/>
      <c r="AI212" s="48"/>
      <c r="AJ212" s="48"/>
    </row>
    <row r="213" customFormat="false" ht="15" hidden="false" customHeight="false" outlineLevel="0" collapsed="false">
      <c r="A213" s="8"/>
      <c r="B213" s="42"/>
      <c r="C213" s="43"/>
      <c r="D213" s="44"/>
      <c r="E213" s="44"/>
      <c r="F213" s="45"/>
      <c r="G213" s="46"/>
      <c r="H213" s="47"/>
      <c r="I213" s="9"/>
      <c r="J213" s="9"/>
      <c r="K213" s="43"/>
      <c r="L213" s="9"/>
      <c r="M213" s="9"/>
      <c r="N213" s="43"/>
      <c r="O213" s="48"/>
      <c r="P213" s="48"/>
      <c r="Q213" s="48"/>
      <c r="R213" s="48"/>
      <c r="S213" s="48"/>
      <c r="T213" s="48"/>
      <c r="U213" s="48"/>
      <c r="V213" s="48"/>
      <c r="W213" s="48"/>
      <c r="X213" s="48"/>
      <c r="Y213" s="48"/>
      <c r="Z213" s="48"/>
      <c r="AA213" s="48"/>
      <c r="AB213" s="48"/>
      <c r="AC213" s="48"/>
      <c r="AD213" s="48"/>
      <c r="AE213" s="48"/>
      <c r="AF213" s="48"/>
      <c r="AG213" s="48"/>
      <c r="AH213" s="48"/>
      <c r="AI213" s="48"/>
      <c r="AJ213" s="48"/>
    </row>
    <row r="214" customFormat="false" ht="15" hidden="false" customHeight="false" outlineLevel="0" collapsed="false">
      <c r="A214" s="8"/>
      <c r="B214" s="42"/>
      <c r="C214" s="43"/>
      <c r="D214" s="44"/>
      <c r="E214" s="44"/>
      <c r="F214" s="45"/>
      <c r="G214" s="46"/>
      <c r="H214" s="47"/>
      <c r="I214" s="9"/>
      <c r="J214" s="9"/>
      <c r="K214" s="43"/>
      <c r="L214" s="9"/>
      <c r="M214" s="9"/>
      <c r="N214" s="43"/>
      <c r="O214" s="48"/>
      <c r="P214" s="48"/>
      <c r="Q214" s="48"/>
      <c r="R214" s="48"/>
      <c r="S214" s="48"/>
      <c r="T214" s="48"/>
      <c r="U214" s="48"/>
      <c r="V214" s="48"/>
      <c r="W214" s="48"/>
      <c r="X214" s="48"/>
      <c r="Y214" s="48"/>
      <c r="Z214" s="48"/>
      <c r="AA214" s="48"/>
      <c r="AB214" s="48"/>
      <c r="AC214" s="48"/>
      <c r="AD214" s="48"/>
      <c r="AE214" s="48"/>
      <c r="AF214" s="48"/>
      <c r="AG214" s="48"/>
      <c r="AH214" s="48"/>
      <c r="AI214" s="48"/>
      <c r="AJ214" s="48"/>
    </row>
    <row r="215" customFormat="false" ht="15" hidden="false" customHeight="false" outlineLevel="0" collapsed="false">
      <c r="A215" s="8"/>
      <c r="B215" s="42"/>
      <c r="C215" s="43"/>
      <c r="D215" s="44"/>
      <c r="E215" s="44"/>
      <c r="F215" s="45"/>
      <c r="G215" s="46"/>
      <c r="H215" s="47"/>
      <c r="I215" s="9"/>
      <c r="J215" s="9"/>
      <c r="K215" s="43"/>
      <c r="L215" s="9"/>
      <c r="M215" s="9"/>
      <c r="N215" s="43"/>
      <c r="O215" s="48"/>
      <c r="P215" s="48"/>
      <c r="Q215" s="48"/>
      <c r="R215" s="48"/>
      <c r="S215" s="48"/>
      <c r="T215" s="48"/>
      <c r="U215" s="48"/>
      <c r="V215" s="48"/>
      <c r="W215" s="48"/>
      <c r="X215" s="48"/>
      <c r="Y215" s="48"/>
      <c r="Z215" s="48"/>
      <c r="AA215" s="48"/>
      <c r="AB215" s="48"/>
      <c r="AC215" s="48"/>
      <c r="AD215" s="48"/>
      <c r="AE215" s="48"/>
      <c r="AF215" s="48"/>
      <c r="AG215" s="48"/>
      <c r="AH215" s="48"/>
      <c r="AI215" s="48"/>
      <c r="AJ215" s="48"/>
    </row>
    <row r="216" customFormat="false" ht="15" hidden="false" customHeight="false" outlineLevel="0" collapsed="false">
      <c r="A216" s="8"/>
      <c r="B216" s="42"/>
      <c r="C216" s="43"/>
      <c r="D216" s="44"/>
      <c r="E216" s="44"/>
      <c r="F216" s="45"/>
      <c r="G216" s="46"/>
      <c r="H216" s="47"/>
      <c r="I216" s="9"/>
      <c r="J216" s="9"/>
      <c r="K216" s="43"/>
      <c r="L216" s="9"/>
      <c r="M216" s="9"/>
      <c r="N216" s="43"/>
      <c r="O216" s="48"/>
      <c r="P216" s="48"/>
      <c r="Q216" s="48"/>
      <c r="R216" s="48"/>
      <c r="S216" s="48"/>
      <c r="T216" s="48"/>
      <c r="U216" s="48"/>
      <c r="V216" s="48"/>
      <c r="W216" s="48"/>
      <c r="X216" s="48"/>
      <c r="Y216" s="48"/>
      <c r="Z216" s="48"/>
      <c r="AA216" s="48"/>
      <c r="AB216" s="48"/>
      <c r="AC216" s="48"/>
      <c r="AD216" s="48"/>
      <c r="AE216" s="48"/>
      <c r="AF216" s="48"/>
      <c r="AG216" s="48"/>
      <c r="AH216" s="48"/>
      <c r="AI216" s="48"/>
      <c r="AJ216" s="48"/>
    </row>
    <row r="217" customFormat="false" ht="15" hidden="false" customHeight="false" outlineLevel="0" collapsed="false">
      <c r="A217" s="8"/>
      <c r="B217" s="42"/>
      <c r="C217" s="43"/>
      <c r="D217" s="44"/>
      <c r="E217" s="44"/>
      <c r="F217" s="45"/>
      <c r="G217" s="46"/>
      <c r="H217" s="47"/>
      <c r="I217" s="9"/>
      <c r="J217" s="9"/>
      <c r="K217" s="43"/>
      <c r="L217" s="9"/>
      <c r="M217" s="9"/>
      <c r="N217" s="43"/>
      <c r="O217" s="48"/>
      <c r="P217" s="48"/>
      <c r="Q217" s="48"/>
      <c r="R217" s="48"/>
      <c r="S217" s="48"/>
      <c r="T217" s="48"/>
      <c r="U217" s="48"/>
      <c r="V217" s="48"/>
      <c r="W217" s="48"/>
      <c r="X217" s="48"/>
      <c r="Y217" s="48"/>
      <c r="Z217" s="48"/>
      <c r="AA217" s="48"/>
      <c r="AB217" s="48"/>
      <c r="AC217" s="48"/>
      <c r="AD217" s="48"/>
      <c r="AE217" s="48"/>
      <c r="AF217" s="48"/>
      <c r="AG217" s="48"/>
      <c r="AH217" s="48"/>
      <c r="AI217" s="48"/>
      <c r="AJ217" s="48"/>
    </row>
    <row r="218" customFormat="false" ht="15" hidden="false" customHeight="false" outlineLevel="0" collapsed="false">
      <c r="A218" s="8"/>
      <c r="B218" s="42"/>
      <c r="C218" s="43"/>
      <c r="D218" s="44"/>
      <c r="E218" s="44"/>
      <c r="F218" s="45"/>
      <c r="G218" s="46"/>
      <c r="H218" s="47"/>
      <c r="I218" s="9"/>
      <c r="J218" s="9"/>
      <c r="K218" s="43"/>
      <c r="L218" s="9"/>
      <c r="M218" s="9"/>
      <c r="N218" s="43"/>
      <c r="O218" s="48"/>
      <c r="P218" s="48"/>
      <c r="Q218" s="48"/>
      <c r="R218" s="48"/>
      <c r="S218" s="48"/>
      <c r="T218" s="48"/>
      <c r="U218" s="48"/>
      <c r="V218" s="48"/>
      <c r="W218" s="48"/>
      <c r="X218" s="48"/>
      <c r="Y218" s="48"/>
      <c r="Z218" s="48"/>
      <c r="AA218" s="48"/>
      <c r="AB218" s="48"/>
      <c r="AC218" s="48"/>
      <c r="AD218" s="48"/>
      <c r="AE218" s="48"/>
      <c r="AF218" s="48"/>
      <c r="AG218" s="48"/>
      <c r="AH218" s="48"/>
      <c r="AI218" s="48"/>
      <c r="AJ218" s="48"/>
    </row>
    <row r="219" customFormat="false" ht="15" hidden="false" customHeight="false" outlineLevel="0" collapsed="false">
      <c r="A219" s="8"/>
      <c r="B219" s="42"/>
      <c r="C219" s="43"/>
      <c r="D219" s="44"/>
      <c r="E219" s="44"/>
      <c r="F219" s="45"/>
      <c r="G219" s="46"/>
      <c r="H219" s="47"/>
      <c r="I219" s="9"/>
      <c r="J219" s="9"/>
      <c r="K219" s="43"/>
      <c r="L219" s="9"/>
      <c r="M219" s="9"/>
      <c r="N219" s="43"/>
      <c r="O219" s="48"/>
      <c r="P219" s="48"/>
      <c r="Q219" s="48"/>
      <c r="R219" s="48"/>
      <c r="S219" s="48"/>
      <c r="T219" s="48"/>
      <c r="U219" s="48"/>
      <c r="V219" s="48"/>
      <c r="W219" s="48"/>
      <c r="X219" s="48"/>
      <c r="Y219" s="48"/>
      <c r="Z219" s="48"/>
      <c r="AA219" s="48"/>
      <c r="AB219" s="48"/>
      <c r="AC219" s="48"/>
      <c r="AD219" s="48"/>
      <c r="AE219" s="48"/>
      <c r="AF219" s="48"/>
      <c r="AG219" s="48"/>
      <c r="AH219" s="48"/>
      <c r="AI219" s="48"/>
      <c r="AJ219" s="48"/>
    </row>
    <row r="220" customFormat="false" ht="15" hidden="false" customHeight="false" outlineLevel="0" collapsed="false">
      <c r="A220" s="8"/>
      <c r="B220" s="42"/>
      <c r="C220" s="43"/>
      <c r="D220" s="44"/>
      <c r="E220" s="44"/>
      <c r="F220" s="45"/>
      <c r="G220" s="46"/>
      <c r="H220" s="47"/>
      <c r="I220" s="9"/>
      <c r="J220" s="9"/>
      <c r="K220" s="43"/>
      <c r="L220" s="9"/>
      <c r="M220" s="9"/>
      <c r="N220" s="43"/>
      <c r="O220" s="48"/>
      <c r="P220" s="48"/>
      <c r="Q220" s="48"/>
      <c r="R220" s="48"/>
      <c r="S220" s="48"/>
      <c r="T220" s="48"/>
      <c r="U220" s="48"/>
      <c r="V220" s="48"/>
      <c r="W220" s="48"/>
      <c r="X220" s="48"/>
      <c r="Y220" s="48"/>
      <c r="Z220" s="48"/>
      <c r="AA220" s="48"/>
      <c r="AB220" s="48"/>
      <c r="AC220" s="48"/>
      <c r="AD220" s="48"/>
      <c r="AE220" s="48"/>
      <c r="AF220" s="48"/>
      <c r="AG220" s="48"/>
      <c r="AH220" s="48"/>
      <c r="AI220" s="48"/>
      <c r="AJ220" s="48"/>
    </row>
    <row r="221" customFormat="false" ht="15" hidden="false" customHeight="false" outlineLevel="0" collapsed="false">
      <c r="A221" s="8"/>
      <c r="B221" s="42"/>
      <c r="C221" s="43"/>
      <c r="D221" s="44"/>
      <c r="E221" s="44"/>
      <c r="F221" s="45"/>
      <c r="G221" s="46"/>
      <c r="H221" s="47"/>
      <c r="I221" s="9"/>
      <c r="J221" s="9"/>
      <c r="K221" s="43"/>
      <c r="L221" s="9"/>
      <c r="M221" s="9"/>
      <c r="N221" s="43"/>
      <c r="O221" s="48"/>
      <c r="P221" s="48"/>
      <c r="Q221" s="48"/>
      <c r="R221" s="48"/>
      <c r="S221" s="48"/>
      <c r="T221" s="48"/>
      <c r="U221" s="48"/>
      <c r="V221" s="48"/>
      <c r="W221" s="48"/>
      <c r="X221" s="48"/>
      <c r="Y221" s="48"/>
      <c r="Z221" s="48"/>
      <c r="AA221" s="48"/>
      <c r="AB221" s="48"/>
      <c r="AC221" s="48"/>
      <c r="AD221" s="48"/>
      <c r="AE221" s="48"/>
      <c r="AF221" s="48"/>
      <c r="AG221" s="48"/>
      <c r="AH221" s="48"/>
      <c r="AI221" s="48"/>
      <c r="AJ221" s="48"/>
    </row>
    <row r="222" customFormat="false" ht="15" hidden="false" customHeight="false" outlineLevel="0" collapsed="false">
      <c r="A222" s="8"/>
      <c r="B222" s="42"/>
      <c r="C222" s="43"/>
      <c r="D222" s="44"/>
      <c r="E222" s="44"/>
      <c r="F222" s="45"/>
      <c r="G222" s="46"/>
      <c r="H222" s="47"/>
      <c r="I222" s="9"/>
      <c r="J222" s="9"/>
      <c r="K222" s="43"/>
      <c r="L222" s="9"/>
      <c r="M222" s="9"/>
      <c r="N222" s="43"/>
      <c r="O222" s="48"/>
      <c r="P222" s="48"/>
      <c r="Q222" s="48"/>
      <c r="R222" s="48"/>
      <c r="S222" s="48"/>
      <c r="T222" s="48"/>
      <c r="U222" s="48"/>
      <c r="V222" s="48"/>
      <c r="W222" s="48"/>
      <c r="X222" s="48"/>
      <c r="Y222" s="48"/>
      <c r="Z222" s="48"/>
      <c r="AA222" s="48"/>
      <c r="AB222" s="48"/>
      <c r="AC222" s="48"/>
      <c r="AD222" s="48"/>
      <c r="AE222" s="48"/>
      <c r="AF222" s="48"/>
      <c r="AG222" s="48"/>
      <c r="AH222" s="48"/>
      <c r="AI222" s="48"/>
      <c r="AJ222" s="48"/>
    </row>
    <row r="223" customFormat="false" ht="15" hidden="false" customHeight="false" outlineLevel="0" collapsed="false">
      <c r="A223" s="8"/>
      <c r="B223" s="42"/>
      <c r="C223" s="43"/>
      <c r="D223" s="44"/>
      <c r="E223" s="44"/>
      <c r="F223" s="45"/>
      <c r="G223" s="46"/>
      <c r="H223" s="47"/>
      <c r="I223" s="9"/>
      <c r="J223" s="9"/>
      <c r="K223" s="43"/>
      <c r="L223" s="9"/>
      <c r="M223" s="9"/>
      <c r="N223" s="43"/>
      <c r="O223" s="48"/>
      <c r="P223" s="48"/>
      <c r="Q223" s="48"/>
      <c r="R223" s="48"/>
      <c r="S223" s="48"/>
      <c r="T223" s="48"/>
      <c r="U223" s="48"/>
      <c r="V223" s="48"/>
      <c r="W223" s="48"/>
      <c r="X223" s="48"/>
      <c r="Y223" s="48"/>
      <c r="Z223" s="48"/>
      <c r="AA223" s="48"/>
      <c r="AB223" s="48"/>
      <c r="AC223" s="48"/>
      <c r="AD223" s="48"/>
      <c r="AE223" s="48"/>
      <c r="AF223" s="48"/>
      <c r="AG223" s="48"/>
      <c r="AH223" s="48"/>
      <c r="AI223" s="48"/>
      <c r="AJ223" s="48"/>
    </row>
    <row r="224" customFormat="false" ht="15" hidden="false" customHeight="false" outlineLevel="0" collapsed="false">
      <c r="A224" s="8"/>
      <c r="B224" s="42"/>
      <c r="C224" s="43"/>
      <c r="D224" s="44"/>
      <c r="E224" s="44"/>
      <c r="F224" s="45"/>
      <c r="G224" s="46"/>
      <c r="H224" s="47"/>
      <c r="I224" s="9"/>
      <c r="J224" s="9"/>
      <c r="K224" s="43"/>
      <c r="L224" s="9"/>
      <c r="M224" s="9"/>
      <c r="N224" s="43"/>
      <c r="O224" s="48"/>
      <c r="P224" s="48"/>
      <c r="Q224" s="48"/>
      <c r="R224" s="48"/>
      <c r="S224" s="48"/>
      <c r="T224" s="48"/>
      <c r="U224" s="48"/>
      <c r="V224" s="48"/>
      <c r="W224" s="48"/>
      <c r="X224" s="48"/>
      <c r="Y224" s="48"/>
      <c r="Z224" s="48"/>
      <c r="AA224" s="48"/>
      <c r="AB224" s="48"/>
      <c r="AC224" s="48"/>
      <c r="AD224" s="48"/>
      <c r="AE224" s="48"/>
      <c r="AF224" s="48"/>
      <c r="AG224" s="48"/>
      <c r="AH224" s="48"/>
      <c r="AI224" s="48"/>
      <c r="AJ224" s="48"/>
    </row>
    <row r="225" customFormat="false" ht="15" hidden="false" customHeight="false" outlineLevel="0" collapsed="false">
      <c r="A225" s="8"/>
      <c r="B225" s="42"/>
      <c r="C225" s="43"/>
      <c r="D225" s="44"/>
      <c r="E225" s="44"/>
      <c r="F225" s="45"/>
      <c r="G225" s="46"/>
      <c r="H225" s="47"/>
      <c r="I225" s="9"/>
      <c r="J225" s="9"/>
      <c r="K225" s="43"/>
      <c r="L225" s="9"/>
      <c r="M225" s="9"/>
      <c r="N225" s="43"/>
      <c r="O225" s="48"/>
      <c r="P225" s="48"/>
      <c r="Q225" s="48"/>
      <c r="R225" s="48"/>
      <c r="S225" s="48"/>
      <c r="T225" s="48"/>
      <c r="U225" s="48"/>
      <c r="V225" s="48"/>
      <c r="W225" s="48"/>
      <c r="X225" s="48"/>
      <c r="Y225" s="48"/>
      <c r="Z225" s="48"/>
      <c r="AA225" s="48"/>
      <c r="AB225" s="48"/>
      <c r="AC225" s="48"/>
      <c r="AD225" s="48"/>
      <c r="AE225" s="48"/>
      <c r="AF225" s="48"/>
      <c r="AG225" s="48"/>
      <c r="AH225" s="48"/>
      <c r="AI225" s="48"/>
      <c r="AJ225" s="48"/>
    </row>
    <row r="226" customFormat="false" ht="15" hidden="false" customHeight="false" outlineLevel="0" collapsed="false">
      <c r="A226" s="8"/>
      <c r="B226" s="42"/>
      <c r="C226" s="43"/>
      <c r="D226" s="44"/>
      <c r="E226" s="44"/>
      <c r="F226" s="45"/>
      <c r="G226" s="46"/>
      <c r="H226" s="47"/>
      <c r="I226" s="9"/>
      <c r="J226" s="9"/>
      <c r="K226" s="43"/>
      <c r="L226" s="9"/>
      <c r="M226" s="9"/>
      <c r="N226" s="43"/>
      <c r="O226" s="48"/>
      <c r="P226" s="48"/>
      <c r="Q226" s="48"/>
      <c r="R226" s="48"/>
      <c r="S226" s="48"/>
      <c r="T226" s="48"/>
      <c r="U226" s="48"/>
      <c r="V226" s="48"/>
      <c r="W226" s="48"/>
      <c r="X226" s="48"/>
      <c r="Y226" s="48"/>
      <c r="Z226" s="48"/>
      <c r="AA226" s="48"/>
      <c r="AB226" s="48"/>
      <c r="AC226" s="48"/>
      <c r="AD226" s="48"/>
      <c r="AE226" s="48"/>
      <c r="AF226" s="48"/>
      <c r="AG226" s="48"/>
      <c r="AH226" s="48"/>
      <c r="AI226" s="48"/>
      <c r="AJ226" s="48"/>
    </row>
    <row r="227" customFormat="false" ht="15" hidden="false" customHeight="false" outlineLevel="0" collapsed="false">
      <c r="A227" s="8"/>
      <c r="B227" s="42"/>
      <c r="C227" s="43"/>
      <c r="D227" s="44"/>
      <c r="E227" s="44"/>
      <c r="F227" s="45"/>
      <c r="G227" s="46"/>
      <c r="H227" s="47"/>
      <c r="I227" s="9"/>
      <c r="J227" s="9"/>
      <c r="K227" s="43"/>
      <c r="L227" s="9"/>
      <c r="M227" s="9"/>
      <c r="N227" s="43"/>
      <c r="O227" s="48"/>
      <c r="P227" s="48"/>
      <c r="Q227" s="48"/>
      <c r="R227" s="48"/>
      <c r="S227" s="48"/>
      <c r="T227" s="48"/>
      <c r="U227" s="48"/>
      <c r="V227" s="48"/>
      <c r="W227" s="48"/>
      <c r="X227" s="48"/>
      <c r="Y227" s="48"/>
      <c r="Z227" s="48"/>
      <c r="AA227" s="48"/>
      <c r="AB227" s="48"/>
      <c r="AC227" s="48"/>
      <c r="AD227" s="48"/>
      <c r="AE227" s="48"/>
      <c r="AF227" s="48"/>
      <c r="AG227" s="48"/>
      <c r="AH227" s="48"/>
      <c r="AI227" s="48"/>
      <c r="AJ227" s="48"/>
    </row>
    <row r="228" customFormat="false" ht="15" hidden="false" customHeight="false" outlineLevel="0" collapsed="false">
      <c r="A228" s="8"/>
      <c r="B228" s="42"/>
      <c r="C228" s="43"/>
      <c r="D228" s="44"/>
      <c r="E228" s="44"/>
      <c r="F228" s="45"/>
      <c r="G228" s="46"/>
      <c r="H228" s="47"/>
      <c r="I228" s="9"/>
      <c r="J228" s="9"/>
      <c r="K228" s="43"/>
      <c r="L228" s="9"/>
      <c r="M228" s="9"/>
      <c r="N228" s="43"/>
      <c r="O228" s="48"/>
      <c r="P228" s="48"/>
      <c r="Q228" s="48"/>
      <c r="R228" s="48"/>
      <c r="S228" s="48"/>
      <c r="T228" s="48"/>
      <c r="U228" s="48"/>
      <c r="V228" s="48"/>
      <c r="W228" s="48"/>
      <c r="X228" s="48"/>
      <c r="Y228" s="48"/>
      <c r="Z228" s="48"/>
      <c r="AA228" s="48"/>
      <c r="AB228" s="48"/>
      <c r="AC228" s="48"/>
      <c r="AD228" s="48"/>
      <c r="AE228" s="48"/>
      <c r="AF228" s="48"/>
      <c r="AG228" s="48"/>
      <c r="AH228" s="48"/>
      <c r="AI228" s="48"/>
      <c r="AJ228" s="48"/>
    </row>
    <row r="229" customFormat="false" ht="15" hidden="false" customHeight="false" outlineLevel="0" collapsed="false">
      <c r="A229" s="8"/>
      <c r="B229" s="42"/>
      <c r="C229" s="43"/>
      <c r="D229" s="44"/>
      <c r="E229" s="44"/>
      <c r="F229" s="45"/>
      <c r="G229" s="46"/>
      <c r="H229" s="47"/>
      <c r="I229" s="9"/>
      <c r="J229" s="9"/>
      <c r="K229" s="43"/>
      <c r="L229" s="9"/>
      <c r="M229" s="9"/>
      <c r="N229" s="43"/>
      <c r="O229" s="48"/>
      <c r="P229" s="48"/>
      <c r="Q229" s="48"/>
      <c r="R229" s="48"/>
      <c r="S229" s="48"/>
      <c r="T229" s="48"/>
      <c r="U229" s="48"/>
      <c r="V229" s="48"/>
      <c r="W229" s="48"/>
      <c r="X229" s="48"/>
      <c r="Y229" s="48"/>
      <c r="Z229" s="48"/>
      <c r="AA229" s="48"/>
      <c r="AB229" s="48"/>
      <c r="AC229" s="48"/>
      <c r="AD229" s="48"/>
      <c r="AE229" s="48"/>
      <c r="AF229" s="48"/>
      <c r="AG229" s="48"/>
      <c r="AH229" s="48"/>
      <c r="AI229" s="48"/>
      <c r="AJ229" s="48"/>
    </row>
    <row r="230" customFormat="false" ht="15" hidden="false" customHeight="false" outlineLevel="0" collapsed="false">
      <c r="A230" s="8"/>
      <c r="B230" s="42"/>
      <c r="C230" s="43"/>
      <c r="D230" s="44"/>
      <c r="E230" s="44"/>
      <c r="F230" s="45"/>
      <c r="G230" s="46"/>
      <c r="H230" s="47"/>
      <c r="I230" s="9"/>
      <c r="J230" s="9"/>
      <c r="K230" s="43"/>
      <c r="L230" s="9"/>
      <c r="M230" s="9"/>
      <c r="N230" s="43"/>
      <c r="O230" s="48"/>
      <c r="P230" s="48"/>
      <c r="Q230" s="48"/>
      <c r="R230" s="48"/>
      <c r="S230" s="48"/>
      <c r="T230" s="48"/>
      <c r="U230" s="48"/>
      <c r="V230" s="48"/>
      <c r="W230" s="48"/>
      <c r="X230" s="48"/>
      <c r="Y230" s="48"/>
      <c r="Z230" s="48"/>
      <c r="AA230" s="48"/>
      <c r="AB230" s="48"/>
      <c r="AC230" s="48"/>
      <c r="AD230" s="48"/>
      <c r="AE230" s="48"/>
      <c r="AF230" s="48"/>
      <c r="AG230" s="48"/>
      <c r="AH230" s="48"/>
      <c r="AI230" s="48"/>
      <c r="AJ230" s="48"/>
    </row>
    <row r="231" customFormat="false" ht="15" hidden="false" customHeight="false" outlineLevel="0" collapsed="false">
      <c r="A231" s="8"/>
      <c r="B231" s="42"/>
      <c r="C231" s="43"/>
      <c r="D231" s="44"/>
      <c r="E231" s="44"/>
      <c r="F231" s="45"/>
      <c r="G231" s="46"/>
      <c r="H231" s="47"/>
      <c r="I231" s="9"/>
      <c r="J231" s="9"/>
      <c r="K231" s="43"/>
      <c r="L231" s="9"/>
      <c r="M231" s="9"/>
      <c r="N231" s="43"/>
      <c r="O231" s="48"/>
      <c r="P231" s="48"/>
      <c r="Q231" s="48"/>
      <c r="R231" s="48"/>
      <c r="S231" s="48"/>
      <c r="T231" s="48"/>
      <c r="U231" s="48"/>
      <c r="V231" s="48"/>
      <c r="W231" s="48"/>
      <c r="X231" s="48"/>
      <c r="Y231" s="48"/>
      <c r="Z231" s="48"/>
      <c r="AA231" s="48"/>
      <c r="AB231" s="48"/>
      <c r="AC231" s="48"/>
      <c r="AD231" s="48"/>
      <c r="AE231" s="48"/>
      <c r="AF231" s="48"/>
      <c r="AG231" s="48"/>
      <c r="AH231" s="48"/>
      <c r="AI231" s="48"/>
      <c r="AJ231" s="48"/>
    </row>
    <row r="232" customFormat="false" ht="15" hidden="false" customHeight="false" outlineLevel="0" collapsed="false">
      <c r="A232" s="8"/>
      <c r="B232" s="42"/>
      <c r="C232" s="43"/>
      <c r="D232" s="44"/>
      <c r="E232" s="44"/>
      <c r="F232" s="45"/>
      <c r="G232" s="46"/>
      <c r="H232" s="47"/>
      <c r="I232" s="9"/>
      <c r="J232" s="9"/>
      <c r="K232" s="43"/>
      <c r="L232" s="9"/>
      <c r="M232" s="9"/>
      <c r="N232" s="43"/>
      <c r="O232" s="48"/>
      <c r="P232" s="48"/>
      <c r="Q232" s="48"/>
      <c r="R232" s="48"/>
      <c r="S232" s="48"/>
      <c r="T232" s="48"/>
      <c r="U232" s="48"/>
      <c r="V232" s="48"/>
      <c r="W232" s="48"/>
      <c r="X232" s="48"/>
      <c r="Y232" s="48"/>
      <c r="Z232" s="48"/>
      <c r="AA232" s="48"/>
      <c r="AB232" s="48"/>
      <c r="AC232" s="48"/>
      <c r="AD232" s="48"/>
      <c r="AE232" s="48"/>
      <c r="AF232" s="48"/>
      <c r="AG232" s="48"/>
      <c r="AH232" s="48"/>
      <c r="AI232" s="48"/>
      <c r="AJ232" s="48"/>
    </row>
    <row r="233" customFormat="false" ht="15" hidden="false" customHeight="false" outlineLevel="0" collapsed="false">
      <c r="A233" s="8"/>
      <c r="B233" s="42"/>
      <c r="C233" s="43"/>
      <c r="D233" s="44"/>
      <c r="E233" s="44"/>
      <c r="F233" s="45"/>
      <c r="G233" s="46"/>
      <c r="H233" s="47"/>
      <c r="I233" s="9"/>
      <c r="J233" s="9"/>
      <c r="K233" s="43"/>
      <c r="L233" s="9"/>
      <c r="M233" s="9"/>
      <c r="N233" s="43"/>
      <c r="O233" s="48"/>
      <c r="P233" s="48"/>
      <c r="Q233" s="48"/>
      <c r="R233" s="48"/>
      <c r="S233" s="48"/>
      <c r="T233" s="48"/>
      <c r="U233" s="48"/>
      <c r="V233" s="48"/>
      <c r="W233" s="48"/>
      <c r="X233" s="48"/>
      <c r="Y233" s="48"/>
      <c r="Z233" s="48"/>
      <c r="AA233" s="48"/>
      <c r="AB233" s="48"/>
      <c r="AC233" s="48"/>
      <c r="AD233" s="48"/>
      <c r="AE233" s="48"/>
      <c r="AF233" s="48"/>
      <c r="AG233" s="48"/>
      <c r="AH233" s="48"/>
      <c r="AI233" s="48"/>
      <c r="AJ233" s="48"/>
    </row>
    <row r="234" customFormat="false" ht="15" hidden="false" customHeight="false" outlineLevel="0" collapsed="false">
      <c r="A234" s="8"/>
      <c r="B234" s="42"/>
      <c r="C234" s="43"/>
      <c r="D234" s="44"/>
      <c r="E234" s="44"/>
      <c r="F234" s="45"/>
      <c r="G234" s="46"/>
      <c r="H234" s="47"/>
      <c r="I234" s="9"/>
      <c r="J234" s="9"/>
      <c r="K234" s="43"/>
      <c r="L234" s="9"/>
      <c r="M234" s="9"/>
      <c r="N234" s="43"/>
      <c r="O234" s="48"/>
      <c r="P234" s="48"/>
      <c r="Q234" s="48"/>
      <c r="R234" s="48"/>
      <c r="S234" s="48"/>
      <c r="T234" s="48"/>
      <c r="U234" s="48"/>
      <c r="V234" s="48"/>
      <c r="W234" s="48"/>
      <c r="X234" s="48"/>
      <c r="Y234" s="48"/>
      <c r="Z234" s="48"/>
      <c r="AA234" s="48"/>
      <c r="AB234" s="48"/>
      <c r="AC234" s="48"/>
      <c r="AD234" s="48"/>
      <c r="AE234" s="48"/>
      <c r="AF234" s="48"/>
      <c r="AG234" s="48"/>
      <c r="AH234" s="48"/>
      <c r="AI234" s="48"/>
      <c r="AJ234" s="48"/>
    </row>
    <row r="235" customFormat="false" ht="15" hidden="false" customHeight="false" outlineLevel="0" collapsed="false">
      <c r="A235" s="8"/>
      <c r="B235" s="42"/>
      <c r="C235" s="43"/>
      <c r="D235" s="44"/>
      <c r="E235" s="44"/>
      <c r="F235" s="45"/>
      <c r="G235" s="46"/>
      <c r="H235" s="47"/>
      <c r="I235" s="9"/>
      <c r="J235" s="9"/>
      <c r="K235" s="43"/>
      <c r="L235" s="9"/>
      <c r="M235" s="9"/>
      <c r="N235" s="43"/>
      <c r="O235" s="48"/>
      <c r="P235" s="48"/>
      <c r="Q235" s="48"/>
      <c r="R235" s="48"/>
      <c r="S235" s="48"/>
      <c r="T235" s="48"/>
      <c r="U235" s="48"/>
      <c r="V235" s="48"/>
      <c r="W235" s="48"/>
      <c r="X235" s="48"/>
      <c r="Y235" s="48"/>
      <c r="Z235" s="48"/>
      <c r="AA235" s="48"/>
      <c r="AB235" s="48"/>
      <c r="AC235" s="48"/>
      <c r="AD235" s="48"/>
      <c r="AE235" s="48"/>
      <c r="AF235" s="48"/>
      <c r="AG235" s="48"/>
      <c r="AH235" s="48"/>
      <c r="AI235" s="48"/>
      <c r="AJ235" s="48"/>
    </row>
    <row r="236" customFormat="false" ht="15" hidden="false" customHeight="false" outlineLevel="0" collapsed="false">
      <c r="A236" s="8"/>
      <c r="B236" s="42"/>
      <c r="C236" s="43"/>
      <c r="D236" s="44"/>
      <c r="E236" s="44"/>
      <c r="F236" s="45"/>
      <c r="G236" s="46"/>
      <c r="H236" s="47"/>
      <c r="I236" s="9"/>
      <c r="J236" s="9"/>
      <c r="K236" s="43"/>
      <c r="L236" s="9"/>
      <c r="M236" s="9"/>
      <c r="N236" s="43"/>
      <c r="O236" s="48"/>
      <c r="P236" s="48"/>
      <c r="Q236" s="48"/>
      <c r="R236" s="48"/>
      <c r="S236" s="48"/>
      <c r="T236" s="48"/>
      <c r="U236" s="48"/>
      <c r="V236" s="48"/>
      <c r="W236" s="48"/>
      <c r="X236" s="48"/>
      <c r="Y236" s="48"/>
      <c r="Z236" s="48"/>
      <c r="AA236" s="48"/>
      <c r="AB236" s="48"/>
      <c r="AC236" s="48"/>
      <c r="AD236" s="48"/>
      <c r="AE236" s="48"/>
      <c r="AF236" s="48"/>
      <c r="AG236" s="48"/>
      <c r="AH236" s="48"/>
      <c r="AI236" s="48"/>
      <c r="AJ236" s="48"/>
    </row>
    <row r="237" customFormat="false" ht="15" hidden="false" customHeight="false" outlineLevel="0" collapsed="false">
      <c r="A237" s="8"/>
      <c r="B237" s="42"/>
      <c r="C237" s="43"/>
      <c r="D237" s="44"/>
      <c r="E237" s="44"/>
      <c r="F237" s="45"/>
      <c r="G237" s="46"/>
      <c r="H237" s="47"/>
      <c r="I237" s="9"/>
      <c r="J237" s="9"/>
      <c r="K237" s="43"/>
      <c r="L237" s="9"/>
      <c r="M237" s="9"/>
      <c r="N237" s="43"/>
      <c r="O237" s="48"/>
      <c r="P237" s="48"/>
      <c r="Q237" s="48"/>
      <c r="R237" s="48"/>
      <c r="S237" s="48"/>
      <c r="T237" s="48"/>
      <c r="U237" s="48"/>
      <c r="V237" s="48"/>
      <c r="W237" s="48"/>
      <c r="X237" s="48"/>
      <c r="Y237" s="48"/>
      <c r="Z237" s="48"/>
      <c r="AA237" s="48"/>
      <c r="AB237" s="48"/>
      <c r="AC237" s="48"/>
      <c r="AD237" s="48"/>
      <c r="AE237" s="48"/>
      <c r="AF237" s="48"/>
      <c r="AG237" s="48"/>
      <c r="AH237" s="48"/>
      <c r="AI237" s="48"/>
      <c r="AJ237" s="48"/>
    </row>
    <row r="238" customFormat="false" ht="15" hidden="false" customHeight="false" outlineLevel="0" collapsed="false">
      <c r="A238" s="8"/>
      <c r="B238" s="42"/>
      <c r="C238" s="43"/>
      <c r="D238" s="44"/>
      <c r="E238" s="44"/>
      <c r="F238" s="45"/>
      <c r="G238" s="46"/>
      <c r="H238" s="47"/>
      <c r="I238" s="9"/>
      <c r="J238" s="9"/>
      <c r="K238" s="43"/>
      <c r="L238" s="9"/>
      <c r="M238" s="9"/>
      <c r="N238" s="43"/>
      <c r="O238" s="48"/>
      <c r="P238" s="48"/>
      <c r="Q238" s="48"/>
      <c r="R238" s="48"/>
      <c r="S238" s="48"/>
      <c r="T238" s="48"/>
      <c r="U238" s="48"/>
      <c r="V238" s="48"/>
      <c r="W238" s="48"/>
      <c r="X238" s="48"/>
      <c r="Y238" s="48"/>
      <c r="Z238" s="48"/>
      <c r="AA238" s="48"/>
      <c r="AB238" s="48"/>
      <c r="AC238" s="48"/>
      <c r="AD238" s="48"/>
      <c r="AE238" s="48"/>
      <c r="AF238" s="48"/>
      <c r="AG238" s="48"/>
      <c r="AH238" s="48"/>
      <c r="AI238" s="48"/>
      <c r="AJ238" s="48"/>
    </row>
    <row r="239" customFormat="false" ht="15" hidden="false" customHeight="false" outlineLevel="0" collapsed="false">
      <c r="A239" s="8"/>
      <c r="B239" s="42"/>
      <c r="C239" s="43"/>
      <c r="D239" s="44"/>
      <c r="E239" s="44"/>
      <c r="F239" s="45"/>
      <c r="G239" s="46"/>
      <c r="H239" s="47"/>
      <c r="I239" s="9"/>
      <c r="J239" s="9"/>
      <c r="K239" s="43"/>
      <c r="L239" s="9"/>
      <c r="M239" s="9"/>
      <c r="N239" s="43"/>
      <c r="O239" s="48"/>
      <c r="P239" s="48"/>
      <c r="Q239" s="48"/>
      <c r="R239" s="48"/>
      <c r="S239" s="48"/>
      <c r="T239" s="48"/>
      <c r="U239" s="48"/>
      <c r="V239" s="48"/>
      <c r="W239" s="48"/>
      <c r="X239" s="48"/>
      <c r="Y239" s="48"/>
      <c r="Z239" s="48"/>
      <c r="AA239" s="48"/>
      <c r="AB239" s="48"/>
      <c r="AC239" s="48"/>
      <c r="AD239" s="48"/>
      <c r="AE239" s="48"/>
      <c r="AF239" s="48"/>
      <c r="AG239" s="48"/>
      <c r="AH239" s="48"/>
      <c r="AI239" s="48"/>
      <c r="AJ239" s="48"/>
    </row>
    <row r="240" customFormat="false" ht="15" hidden="false" customHeight="false" outlineLevel="0" collapsed="false">
      <c r="A240" s="8"/>
      <c r="B240" s="42"/>
      <c r="C240" s="43"/>
      <c r="D240" s="44"/>
      <c r="E240" s="44"/>
      <c r="F240" s="45"/>
      <c r="G240" s="46"/>
      <c r="H240" s="47"/>
      <c r="I240" s="9"/>
      <c r="J240" s="9"/>
      <c r="K240" s="43"/>
      <c r="L240" s="9"/>
      <c r="M240" s="9"/>
      <c r="N240" s="43"/>
      <c r="O240" s="48"/>
      <c r="P240" s="48"/>
      <c r="Q240" s="48"/>
      <c r="R240" s="48"/>
      <c r="S240" s="48"/>
      <c r="T240" s="48"/>
      <c r="U240" s="48"/>
      <c r="V240" s="48"/>
      <c r="W240" s="48"/>
      <c r="X240" s="48"/>
      <c r="Y240" s="48"/>
      <c r="Z240" s="48"/>
      <c r="AA240" s="48"/>
      <c r="AB240" s="48"/>
      <c r="AC240" s="48"/>
      <c r="AD240" s="48"/>
      <c r="AE240" s="48"/>
      <c r="AF240" s="48"/>
      <c r="AG240" s="48"/>
      <c r="AH240" s="48"/>
      <c r="AI240" s="48"/>
      <c r="AJ240" s="48"/>
    </row>
    <row r="241" customFormat="false" ht="15" hidden="false" customHeight="false" outlineLevel="0" collapsed="false">
      <c r="A241" s="8"/>
      <c r="B241" s="42"/>
      <c r="C241" s="43"/>
      <c r="D241" s="44"/>
      <c r="E241" s="44"/>
      <c r="F241" s="45"/>
      <c r="G241" s="46"/>
      <c r="H241" s="47"/>
      <c r="I241" s="9"/>
      <c r="J241" s="9"/>
      <c r="K241" s="43"/>
      <c r="L241" s="9"/>
      <c r="M241" s="9"/>
      <c r="N241" s="43"/>
      <c r="O241" s="48"/>
      <c r="P241" s="48"/>
      <c r="Q241" s="48"/>
      <c r="R241" s="48"/>
      <c r="S241" s="48"/>
      <c r="T241" s="48"/>
      <c r="U241" s="48"/>
      <c r="V241" s="48"/>
      <c r="W241" s="48"/>
      <c r="X241" s="48"/>
      <c r="Y241" s="48"/>
      <c r="Z241" s="48"/>
      <c r="AA241" s="48"/>
      <c r="AB241" s="48"/>
      <c r="AC241" s="48"/>
      <c r="AD241" s="48"/>
      <c r="AE241" s="48"/>
      <c r="AF241" s="48"/>
      <c r="AG241" s="48"/>
      <c r="AH241" s="48"/>
      <c r="AI241" s="48"/>
      <c r="AJ241" s="48"/>
    </row>
    <row r="242" customFormat="false" ht="15" hidden="false" customHeight="false" outlineLevel="0" collapsed="false">
      <c r="A242" s="8"/>
      <c r="B242" s="42"/>
      <c r="C242" s="43"/>
      <c r="D242" s="44"/>
      <c r="E242" s="44"/>
      <c r="F242" s="45"/>
      <c r="G242" s="46"/>
      <c r="H242" s="47"/>
      <c r="I242" s="9"/>
      <c r="J242" s="9"/>
      <c r="K242" s="43"/>
      <c r="L242" s="9"/>
      <c r="M242" s="9"/>
      <c r="N242" s="43"/>
      <c r="O242" s="48"/>
      <c r="P242" s="48"/>
      <c r="Q242" s="48"/>
      <c r="R242" s="48"/>
      <c r="S242" s="48"/>
      <c r="T242" s="48"/>
      <c r="U242" s="48"/>
      <c r="V242" s="48"/>
      <c r="W242" s="48"/>
      <c r="X242" s="48"/>
      <c r="Y242" s="48"/>
      <c r="Z242" s="48"/>
      <c r="AA242" s="48"/>
      <c r="AB242" s="48"/>
      <c r="AC242" s="48"/>
      <c r="AD242" s="48"/>
      <c r="AE242" s="48"/>
      <c r="AF242" s="48"/>
      <c r="AG242" s="48"/>
      <c r="AH242" s="48"/>
      <c r="AI242" s="48"/>
      <c r="AJ242" s="48"/>
    </row>
    <row r="243" customFormat="false" ht="15" hidden="false" customHeight="false" outlineLevel="0" collapsed="false">
      <c r="A243" s="8"/>
      <c r="B243" s="42"/>
      <c r="C243" s="43"/>
      <c r="D243" s="44"/>
      <c r="E243" s="44"/>
      <c r="F243" s="45"/>
      <c r="G243" s="46"/>
      <c r="H243" s="47"/>
      <c r="I243" s="9"/>
      <c r="J243" s="9"/>
      <c r="K243" s="43"/>
      <c r="L243" s="9"/>
      <c r="M243" s="9"/>
      <c r="N243" s="43"/>
      <c r="O243" s="48"/>
      <c r="P243" s="48"/>
      <c r="Q243" s="48"/>
      <c r="R243" s="48"/>
      <c r="S243" s="48"/>
      <c r="T243" s="48"/>
      <c r="U243" s="48"/>
      <c r="V243" s="48"/>
      <c r="W243" s="48"/>
      <c r="X243" s="48"/>
      <c r="Y243" s="48"/>
      <c r="Z243" s="48"/>
      <c r="AA243" s="48"/>
      <c r="AB243" s="48"/>
      <c r="AC243" s="48"/>
      <c r="AD243" s="48"/>
      <c r="AE243" s="48"/>
      <c r="AF243" s="48"/>
      <c r="AG243" s="48"/>
      <c r="AH243" s="48"/>
      <c r="AI243" s="48"/>
      <c r="AJ243" s="48"/>
    </row>
    <row r="244" customFormat="false" ht="15" hidden="false" customHeight="false" outlineLevel="0" collapsed="false">
      <c r="A244" s="8"/>
      <c r="B244" s="42"/>
      <c r="C244" s="43"/>
      <c r="D244" s="44"/>
      <c r="E244" s="44"/>
      <c r="F244" s="45"/>
      <c r="G244" s="46"/>
      <c r="H244" s="47"/>
      <c r="I244" s="9"/>
      <c r="J244" s="9"/>
      <c r="K244" s="43"/>
      <c r="L244" s="9"/>
      <c r="M244" s="9"/>
      <c r="N244" s="43"/>
      <c r="O244" s="48"/>
      <c r="P244" s="48"/>
      <c r="Q244" s="48"/>
      <c r="R244" s="48"/>
      <c r="S244" s="48"/>
      <c r="T244" s="48"/>
      <c r="U244" s="48"/>
      <c r="V244" s="48"/>
      <c r="W244" s="48"/>
      <c r="X244" s="48"/>
      <c r="Y244" s="48"/>
      <c r="Z244" s="48"/>
      <c r="AA244" s="48"/>
      <c r="AB244" s="48"/>
      <c r="AC244" s="48"/>
      <c r="AD244" s="48"/>
      <c r="AE244" s="48"/>
      <c r="AF244" s="48"/>
      <c r="AG244" s="48"/>
      <c r="AH244" s="48"/>
      <c r="AI244" s="48"/>
      <c r="AJ244" s="48"/>
    </row>
    <row r="245" customFormat="false" ht="15" hidden="false" customHeight="false" outlineLevel="0" collapsed="false">
      <c r="A245" s="8"/>
      <c r="B245" s="42"/>
      <c r="C245" s="43"/>
      <c r="D245" s="44"/>
      <c r="E245" s="44"/>
      <c r="F245" s="45"/>
      <c r="G245" s="46"/>
      <c r="H245" s="47"/>
      <c r="I245" s="9"/>
      <c r="J245" s="9"/>
      <c r="K245" s="43"/>
      <c r="L245" s="9"/>
      <c r="M245" s="9"/>
      <c r="N245" s="43"/>
      <c r="O245" s="48"/>
      <c r="P245" s="48"/>
      <c r="Q245" s="48"/>
      <c r="R245" s="48"/>
      <c r="S245" s="48"/>
      <c r="T245" s="48"/>
      <c r="U245" s="48"/>
      <c r="V245" s="48"/>
      <c r="W245" s="48"/>
      <c r="X245" s="48"/>
      <c r="Y245" s="48"/>
      <c r="Z245" s="48"/>
      <c r="AA245" s="48"/>
      <c r="AB245" s="48"/>
      <c r="AC245" s="48"/>
      <c r="AD245" s="48"/>
      <c r="AE245" s="48"/>
      <c r="AF245" s="48"/>
      <c r="AG245" s="48"/>
      <c r="AH245" s="48"/>
      <c r="AI245" s="48"/>
      <c r="AJ245" s="48"/>
    </row>
    <row r="246" customFormat="false" ht="15" hidden="false" customHeight="false" outlineLevel="0" collapsed="false">
      <c r="A246" s="8"/>
      <c r="B246" s="42"/>
      <c r="C246" s="43"/>
      <c r="D246" s="44"/>
      <c r="E246" s="44"/>
      <c r="F246" s="45"/>
      <c r="G246" s="46"/>
      <c r="H246" s="47"/>
      <c r="I246" s="9"/>
      <c r="J246" s="9"/>
      <c r="K246" s="43"/>
      <c r="L246" s="9"/>
      <c r="M246" s="9"/>
      <c r="N246" s="43"/>
      <c r="O246" s="48"/>
      <c r="P246" s="48"/>
      <c r="Q246" s="48"/>
      <c r="R246" s="48"/>
      <c r="S246" s="48"/>
      <c r="T246" s="48"/>
      <c r="U246" s="48"/>
      <c r="V246" s="48"/>
      <c r="W246" s="48"/>
      <c r="X246" s="48"/>
      <c r="Y246" s="48"/>
      <c r="Z246" s="48"/>
      <c r="AA246" s="48"/>
      <c r="AB246" s="48"/>
      <c r="AC246" s="48"/>
      <c r="AD246" s="48"/>
      <c r="AE246" s="48"/>
      <c r="AF246" s="48"/>
      <c r="AG246" s="48"/>
      <c r="AH246" s="48"/>
      <c r="AI246" s="48"/>
      <c r="AJ246" s="48"/>
    </row>
    <row r="247" customFormat="false" ht="15" hidden="false" customHeight="false" outlineLevel="0" collapsed="false">
      <c r="A247" s="8"/>
      <c r="B247" s="42"/>
      <c r="C247" s="43"/>
      <c r="D247" s="44"/>
      <c r="E247" s="44"/>
      <c r="F247" s="45"/>
      <c r="G247" s="46"/>
      <c r="H247" s="47"/>
      <c r="I247" s="9"/>
      <c r="J247" s="9"/>
      <c r="K247" s="43"/>
      <c r="L247" s="9"/>
      <c r="M247" s="9"/>
      <c r="N247" s="43"/>
      <c r="O247" s="48"/>
      <c r="P247" s="48"/>
      <c r="Q247" s="48"/>
      <c r="R247" s="48"/>
      <c r="S247" s="48"/>
      <c r="T247" s="48"/>
      <c r="U247" s="48"/>
      <c r="V247" s="48"/>
      <c r="W247" s="48"/>
      <c r="X247" s="48"/>
      <c r="Y247" s="48"/>
      <c r="Z247" s="48"/>
      <c r="AA247" s="48"/>
      <c r="AB247" s="48"/>
      <c r="AC247" s="48"/>
      <c r="AD247" s="48"/>
      <c r="AE247" s="48"/>
      <c r="AF247" s="48"/>
      <c r="AG247" s="48"/>
      <c r="AH247" s="48"/>
      <c r="AI247" s="48"/>
      <c r="AJ247" s="48"/>
    </row>
    <row r="248" customFormat="false" ht="15" hidden="false" customHeight="false" outlineLevel="0" collapsed="false">
      <c r="A248" s="8"/>
      <c r="B248" s="42"/>
      <c r="C248" s="43"/>
      <c r="D248" s="44"/>
      <c r="E248" s="44"/>
      <c r="F248" s="45"/>
      <c r="G248" s="46"/>
      <c r="H248" s="47"/>
      <c r="I248" s="9"/>
      <c r="J248" s="9"/>
      <c r="K248" s="43"/>
      <c r="L248" s="9"/>
      <c r="M248" s="9"/>
      <c r="N248" s="43"/>
      <c r="O248" s="48"/>
      <c r="P248" s="48"/>
      <c r="Q248" s="48"/>
      <c r="R248" s="48"/>
      <c r="S248" s="48"/>
      <c r="T248" s="48"/>
      <c r="U248" s="48"/>
      <c r="V248" s="48"/>
      <c r="W248" s="48"/>
      <c r="X248" s="48"/>
      <c r="Y248" s="48"/>
      <c r="Z248" s="48"/>
      <c r="AA248" s="48"/>
      <c r="AB248" s="48"/>
      <c r="AC248" s="48"/>
      <c r="AD248" s="48"/>
      <c r="AE248" s="48"/>
      <c r="AF248" s="48"/>
      <c r="AG248" s="48"/>
      <c r="AH248" s="48"/>
      <c r="AI248" s="48"/>
      <c r="AJ248" s="48"/>
    </row>
    <row r="249" customFormat="false" ht="15" hidden="false" customHeight="false" outlineLevel="0" collapsed="false">
      <c r="A249" s="8"/>
      <c r="B249" s="42"/>
      <c r="C249" s="43"/>
      <c r="D249" s="44"/>
      <c r="E249" s="44"/>
      <c r="F249" s="45"/>
      <c r="G249" s="46"/>
      <c r="H249" s="47"/>
      <c r="I249" s="9"/>
      <c r="J249" s="9"/>
      <c r="K249" s="43"/>
      <c r="L249" s="9"/>
      <c r="M249" s="9"/>
      <c r="N249" s="43"/>
      <c r="O249" s="48"/>
      <c r="P249" s="48"/>
      <c r="Q249" s="48"/>
      <c r="R249" s="48"/>
      <c r="S249" s="48"/>
      <c r="T249" s="48"/>
      <c r="U249" s="48"/>
      <c r="V249" s="48"/>
      <c r="W249" s="48"/>
      <c r="X249" s="48"/>
      <c r="Y249" s="48"/>
      <c r="Z249" s="48"/>
      <c r="AA249" s="48"/>
      <c r="AB249" s="48"/>
      <c r="AC249" s="48"/>
      <c r="AD249" s="48"/>
      <c r="AE249" s="48"/>
      <c r="AF249" s="48"/>
      <c r="AG249" s="48"/>
      <c r="AH249" s="48"/>
      <c r="AI249" s="48"/>
      <c r="AJ249" s="48"/>
    </row>
    <row r="250" customFormat="false" ht="15" hidden="false" customHeight="false" outlineLevel="0" collapsed="false">
      <c r="A250" s="8"/>
      <c r="B250" s="42"/>
      <c r="C250" s="43"/>
      <c r="D250" s="44"/>
      <c r="E250" s="44"/>
      <c r="F250" s="45"/>
      <c r="G250" s="46"/>
      <c r="H250" s="47"/>
      <c r="I250" s="9"/>
      <c r="J250" s="9"/>
      <c r="K250" s="43"/>
      <c r="L250" s="9"/>
      <c r="M250" s="9"/>
      <c r="N250" s="43"/>
      <c r="O250" s="48"/>
      <c r="P250" s="48"/>
      <c r="Q250" s="48"/>
      <c r="R250" s="48"/>
      <c r="S250" s="48"/>
      <c r="T250" s="48"/>
      <c r="U250" s="48"/>
      <c r="V250" s="48"/>
      <c r="W250" s="48"/>
      <c r="X250" s="48"/>
      <c r="Y250" s="48"/>
      <c r="Z250" s="48"/>
      <c r="AA250" s="48"/>
      <c r="AB250" s="48"/>
      <c r="AC250" s="48"/>
      <c r="AD250" s="48"/>
      <c r="AE250" s="48"/>
      <c r="AF250" s="48"/>
      <c r="AG250" s="48"/>
      <c r="AH250" s="48"/>
      <c r="AI250" s="48"/>
      <c r="AJ250" s="48"/>
    </row>
    <row r="251" customFormat="false" ht="15" hidden="false" customHeight="false" outlineLevel="0" collapsed="false">
      <c r="A251" s="8"/>
      <c r="B251" s="42"/>
      <c r="C251" s="43"/>
      <c r="D251" s="44"/>
      <c r="E251" s="44"/>
      <c r="F251" s="45"/>
      <c r="G251" s="46"/>
      <c r="H251" s="47"/>
      <c r="I251" s="9"/>
      <c r="J251" s="9"/>
      <c r="K251" s="43"/>
      <c r="L251" s="9"/>
      <c r="M251" s="9"/>
      <c r="N251" s="43"/>
      <c r="O251" s="48"/>
      <c r="P251" s="48"/>
      <c r="Q251" s="48"/>
      <c r="R251" s="48"/>
      <c r="S251" s="48"/>
      <c r="T251" s="48"/>
      <c r="U251" s="48"/>
      <c r="V251" s="48"/>
      <c r="W251" s="48"/>
      <c r="X251" s="48"/>
      <c r="Y251" s="48"/>
      <c r="Z251" s="48"/>
      <c r="AA251" s="48"/>
      <c r="AB251" s="48"/>
      <c r="AC251" s="48"/>
      <c r="AD251" s="48"/>
      <c r="AE251" s="48"/>
      <c r="AF251" s="48"/>
      <c r="AG251" s="48"/>
      <c r="AH251" s="48"/>
      <c r="AI251" s="48"/>
      <c r="AJ251" s="48"/>
    </row>
    <row r="252" customFormat="false" ht="15" hidden="false" customHeight="false" outlineLevel="0" collapsed="false">
      <c r="A252" s="8"/>
      <c r="B252" s="42"/>
      <c r="C252" s="43"/>
      <c r="D252" s="44"/>
      <c r="E252" s="44"/>
      <c r="F252" s="45"/>
      <c r="G252" s="46"/>
      <c r="H252" s="47"/>
      <c r="I252" s="9"/>
      <c r="J252" s="9"/>
      <c r="K252" s="43"/>
      <c r="L252" s="9"/>
      <c r="M252" s="9"/>
      <c r="N252" s="43"/>
      <c r="O252" s="48"/>
      <c r="P252" s="48"/>
      <c r="Q252" s="48"/>
      <c r="R252" s="48"/>
      <c r="S252" s="48"/>
      <c r="T252" s="48"/>
      <c r="U252" s="48"/>
      <c r="V252" s="48"/>
      <c r="W252" s="48"/>
      <c r="X252" s="48"/>
      <c r="Y252" s="48"/>
      <c r="Z252" s="48"/>
      <c r="AA252" s="48"/>
      <c r="AB252" s="48"/>
      <c r="AC252" s="48"/>
      <c r="AD252" s="48"/>
      <c r="AE252" s="48"/>
      <c r="AF252" s="48"/>
      <c r="AG252" s="48"/>
      <c r="AH252" s="48"/>
      <c r="AI252" s="48"/>
      <c r="AJ252" s="48"/>
    </row>
    <row r="253" customFormat="false" ht="15" hidden="false" customHeight="false" outlineLevel="0" collapsed="false">
      <c r="A253" s="8"/>
      <c r="B253" s="42"/>
      <c r="C253" s="43"/>
      <c r="D253" s="44"/>
      <c r="E253" s="44"/>
      <c r="F253" s="45"/>
      <c r="G253" s="46"/>
      <c r="H253" s="47"/>
      <c r="I253" s="9"/>
      <c r="J253" s="9"/>
      <c r="K253" s="43"/>
      <c r="L253" s="9"/>
      <c r="M253" s="9"/>
      <c r="N253" s="43"/>
      <c r="O253" s="48"/>
      <c r="P253" s="48"/>
      <c r="Q253" s="48"/>
      <c r="R253" s="48"/>
      <c r="S253" s="48"/>
      <c r="T253" s="48"/>
      <c r="U253" s="48"/>
      <c r="V253" s="48"/>
      <c r="W253" s="48"/>
      <c r="X253" s="48"/>
      <c r="Y253" s="48"/>
      <c r="Z253" s="48"/>
      <c r="AA253" s="48"/>
      <c r="AB253" s="48"/>
      <c r="AC253" s="48"/>
      <c r="AD253" s="48"/>
      <c r="AE253" s="48"/>
      <c r="AF253" s="48"/>
      <c r="AG253" s="48"/>
      <c r="AH253" s="48"/>
      <c r="AI253" s="48"/>
      <c r="AJ253" s="48"/>
    </row>
    <row r="254" customFormat="false" ht="15" hidden="false" customHeight="false" outlineLevel="0" collapsed="false">
      <c r="A254" s="8"/>
      <c r="B254" s="42"/>
      <c r="C254" s="43"/>
      <c r="D254" s="44"/>
      <c r="E254" s="44"/>
      <c r="F254" s="45"/>
      <c r="G254" s="46"/>
      <c r="H254" s="47"/>
      <c r="I254" s="9"/>
      <c r="J254" s="9"/>
      <c r="K254" s="43"/>
      <c r="L254" s="9"/>
      <c r="M254" s="9"/>
      <c r="N254" s="43"/>
      <c r="O254" s="48"/>
      <c r="P254" s="48"/>
      <c r="Q254" s="48"/>
      <c r="R254" s="48"/>
      <c r="S254" s="48"/>
      <c r="T254" s="48"/>
      <c r="U254" s="48"/>
      <c r="V254" s="48"/>
      <c r="W254" s="48"/>
      <c r="X254" s="48"/>
      <c r="Y254" s="48"/>
      <c r="Z254" s="48"/>
      <c r="AA254" s="48"/>
      <c r="AB254" s="48"/>
      <c r="AC254" s="48"/>
      <c r="AD254" s="48"/>
      <c r="AE254" s="48"/>
      <c r="AF254" s="48"/>
      <c r="AG254" s="48"/>
      <c r="AH254" s="48"/>
      <c r="AI254" s="48"/>
      <c r="AJ254" s="48"/>
    </row>
    <row r="255" customFormat="false" ht="15" hidden="false" customHeight="false" outlineLevel="0" collapsed="false">
      <c r="A255" s="8"/>
      <c r="B255" s="42"/>
      <c r="C255" s="43"/>
      <c r="D255" s="44"/>
      <c r="E255" s="44"/>
      <c r="F255" s="45"/>
      <c r="G255" s="46"/>
      <c r="H255" s="47"/>
      <c r="I255" s="9"/>
      <c r="J255" s="9"/>
      <c r="K255" s="43"/>
      <c r="L255" s="9"/>
      <c r="M255" s="9"/>
      <c r="N255" s="43"/>
      <c r="O255" s="48"/>
      <c r="P255" s="48"/>
      <c r="Q255" s="48"/>
      <c r="R255" s="48"/>
      <c r="S255" s="48"/>
      <c r="T255" s="48"/>
      <c r="U255" s="48"/>
      <c r="V255" s="48"/>
      <c r="W255" s="48"/>
      <c r="X255" s="48"/>
      <c r="Y255" s="48"/>
      <c r="Z255" s="48"/>
      <c r="AA255" s="48"/>
      <c r="AB255" s="48"/>
      <c r="AC255" s="48"/>
      <c r="AD255" s="48"/>
      <c r="AE255" s="48"/>
      <c r="AF255" s="48"/>
      <c r="AG255" s="48"/>
      <c r="AH255" s="48"/>
      <c r="AI255" s="48"/>
      <c r="AJ255" s="48"/>
    </row>
    <row r="256" customFormat="false" ht="15" hidden="false" customHeight="false" outlineLevel="0" collapsed="false">
      <c r="A256" s="8"/>
      <c r="B256" s="42"/>
      <c r="C256" s="43"/>
      <c r="D256" s="44"/>
      <c r="E256" s="44"/>
      <c r="F256" s="45"/>
      <c r="G256" s="46"/>
      <c r="H256" s="47"/>
      <c r="I256" s="9"/>
      <c r="J256" s="9"/>
      <c r="K256" s="43"/>
      <c r="L256" s="9"/>
      <c r="M256" s="9"/>
      <c r="N256" s="43"/>
      <c r="O256" s="48"/>
      <c r="P256" s="48"/>
      <c r="Q256" s="48"/>
      <c r="R256" s="48"/>
      <c r="S256" s="48"/>
      <c r="T256" s="48"/>
      <c r="U256" s="48"/>
      <c r="V256" s="48"/>
      <c r="W256" s="48"/>
      <c r="X256" s="48"/>
      <c r="Y256" s="48"/>
      <c r="Z256" s="48"/>
      <c r="AA256" s="48"/>
      <c r="AB256" s="48"/>
      <c r="AC256" s="48"/>
      <c r="AD256" s="48"/>
      <c r="AE256" s="48"/>
      <c r="AF256" s="48"/>
      <c r="AG256" s="48"/>
      <c r="AH256" s="48"/>
      <c r="AI256" s="48"/>
      <c r="AJ256" s="48"/>
    </row>
    <row r="257" customFormat="false" ht="15" hidden="false" customHeight="false" outlineLevel="0" collapsed="false">
      <c r="A257" s="8"/>
      <c r="B257" s="42"/>
      <c r="C257" s="43"/>
      <c r="D257" s="44"/>
      <c r="E257" s="44"/>
      <c r="F257" s="45"/>
      <c r="G257" s="46"/>
      <c r="H257" s="47"/>
      <c r="I257" s="9"/>
      <c r="J257" s="9"/>
      <c r="K257" s="43"/>
      <c r="L257" s="9"/>
      <c r="M257" s="9"/>
      <c r="N257" s="43"/>
      <c r="O257" s="48"/>
      <c r="P257" s="48"/>
      <c r="Q257" s="48"/>
      <c r="R257" s="48"/>
      <c r="S257" s="48"/>
      <c r="T257" s="48"/>
      <c r="U257" s="48"/>
      <c r="V257" s="48"/>
      <c r="W257" s="48"/>
      <c r="X257" s="48"/>
      <c r="Y257" s="48"/>
      <c r="Z257" s="48"/>
      <c r="AA257" s="48"/>
      <c r="AB257" s="48"/>
      <c r="AC257" s="48"/>
      <c r="AD257" s="48"/>
      <c r="AE257" s="48"/>
      <c r="AF257" s="48"/>
      <c r="AG257" s="48"/>
      <c r="AH257" s="48"/>
      <c r="AI257" s="48"/>
      <c r="AJ257" s="48"/>
    </row>
    <row r="258" customFormat="false" ht="15" hidden="false" customHeight="false" outlineLevel="0" collapsed="false">
      <c r="A258" s="8"/>
      <c r="B258" s="42"/>
      <c r="C258" s="43"/>
      <c r="D258" s="44"/>
      <c r="E258" s="44"/>
      <c r="F258" s="45"/>
      <c r="G258" s="46"/>
      <c r="H258" s="47"/>
      <c r="I258" s="9"/>
      <c r="J258" s="9"/>
      <c r="K258" s="43"/>
      <c r="L258" s="9"/>
      <c r="M258" s="9"/>
      <c r="N258" s="43"/>
      <c r="O258" s="48"/>
      <c r="P258" s="48"/>
      <c r="Q258" s="48"/>
      <c r="R258" s="48"/>
      <c r="S258" s="48"/>
      <c r="T258" s="48"/>
      <c r="U258" s="48"/>
      <c r="V258" s="48"/>
      <c r="W258" s="48"/>
      <c r="X258" s="48"/>
      <c r="Y258" s="48"/>
      <c r="Z258" s="48"/>
      <c r="AA258" s="48"/>
      <c r="AB258" s="48"/>
      <c r="AC258" s="48"/>
      <c r="AD258" s="48"/>
      <c r="AE258" s="48"/>
      <c r="AF258" s="48"/>
      <c r="AG258" s="48"/>
      <c r="AH258" s="48"/>
      <c r="AI258" s="48"/>
      <c r="AJ258" s="48"/>
    </row>
    <row r="259" customFormat="false" ht="15" hidden="false" customHeight="false" outlineLevel="0" collapsed="false">
      <c r="A259" s="8"/>
      <c r="B259" s="42"/>
      <c r="C259" s="43"/>
      <c r="D259" s="44"/>
      <c r="E259" s="44"/>
      <c r="F259" s="45"/>
      <c r="G259" s="46"/>
      <c r="H259" s="47"/>
      <c r="I259" s="9"/>
      <c r="J259" s="9"/>
      <c r="K259" s="43"/>
      <c r="L259" s="9"/>
      <c r="M259" s="9"/>
      <c r="N259" s="43"/>
      <c r="O259" s="48"/>
      <c r="P259" s="48"/>
      <c r="Q259" s="48"/>
      <c r="R259" s="48"/>
      <c r="S259" s="48"/>
      <c r="T259" s="48"/>
      <c r="U259" s="48"/>
      <c r="V259" s="48"/>
      <c r="W259" s="48"/>
      <c r="X259" s="48"/>
      <c r="Y259" s="48"/>
      <c r="Z259" s="48"/>
      <c r="AA259" s="48"/>
      <c r="AB259" s="48"/>
      <c r="AC259" s="48"/>
      <c r="AD259" s="48"/>
      <c r="AE259" s="48"/>
      <c r="AF259" s="48"/>
      <c r="AG259" s="48"/>
      <c r="AH259" s="48"/>
      <c r="AI259" s="48"/>
      <c r="AJ259" s="48"/>
    </row>
    <row r="260" customFormat="false" ht="15" hidden="false" customHeight="false" outlineLevel="0" collapsed="false">
      <c r="A260" s="8"/>
      <c r="B260" s="42"/>
      <c r="C260" s="43"/>
      <c r="D260" s="44"/>
      <c r="E260" s="44"/>
      <c r="F260" s="45"/>
      <c r="G260" s="46"/>
      <c r="H260" s="47"/>
      <c r="I260" s="9"/>
      <c r="J260" s="9"/>
      <c r="K260" s="43"/>
      <c r="L260" s="9"/>
      <c r="M260" s="9"/>
      <c r="N260" s="43"/>
      <c r="O260" s="48"/>
      <c r="P260" s="48"/>
      <c r="Q260" s="48"/>
      <c r="R260" s="48"/>
      <c r="S260" s="48"/>
      <c r="T260" s="48"/>
      <c r="U260" s="48"/>
      <c r="V260" s="48"/>
      <c r="W260" s="48"/>
      <c r="X260" s="48"/>
      <c r="Y260" s="48"/>
      <c r="Z260" s="48"/>
      <c r="AA260" s="48"/>
      <c r="AB260" s="48"/>
      <c r="AC260" s="48"/>
      <c r="AD260" s="48"/>
      <c r="AE260" s="48"/>
      <c r="AF260" s="48"/>
      <c r="AG260" s="48"/>
      <c r="AH260" s="48"/>
      <c r="AI260" s="48"/>
      <c r="AJ260" s="48"/>
    </row>
    <row r="261" customFormat="false" ht="15" hidden="false" customHeight="false" outlineLevel="0" collapsed="false">
      <c r="A261" s="8"/>
      <c r="B261" s="42"/>
      <c r="C261" s="43"/>
      <c r="D261" s="44"/>
      <c r="E261" s="44"/>
      <c r="F261" s="45"/>
      <c r="G261" s="46"/>
      <c r="H261" s="47"/>
      <c r="I261" s="9"/>
      <c r="J261" s="9"/>
      <c r="K261" s="43"/>
      <c r="L261" s="9"/>
      <c r="M261" s="9"/>
      <c r="N261" s="43"/>
      <c r="O261" s="48"/>
      <c r="P261" s="48"/>
      <c r="Q261" s="48"/>
      <c r="R261" s="48"/>
      <c r="S261" s="48"/>
      <c r="T261" s="48"/>
      <c r="U261" s="48"/>
      <c r="V261" s="48"/>
      <c r="W261" s="48"/>
      <c r="X261" s="48"/>
      <c r="Y261" s="48"/>
      <c r="Z261" s="48"/>
      <c r="AA261" s="48"/>
      <c r="AB261" s="48"/>
      <c r="AC261" s="48"/>
      <c r="AD261" s="48"/>
      <c r="AE261" s="48"/>
      <c r="AF261" s="48"/>
      <c r="AG261" s="48"/>
      <c r="AH261" s="48"/>
      <c r="AI261" s="48"/>
      <c r="AJ261" s="48"/>
    </row>
    <row r="262" customFormat="false" ht="15" hidden="false" customHeight="false" outlineLevel="0" collapsed="false">
      <c r="A262" s="8"/>
      <c r="B262" s="42"/>
      <c r="C262" s="43"/>
      <c r="D262" s="44"/>
      <c r="E262" s="44"/>
      <c r="F262" s="45"/>
      <c r="G262" s="46"/>
      <c r="H262" s="47"/>
      <c r="I262" s="9"/>
      <c r="J262" s="9"/>
      <c r="K262" s="43"/>
      <c r="L262" s="9"/>
      <c r="M262" s="9"/>
      <c r="N262" s="43"/>
      <c r="O262" s="48"/>
      <c r="P262" s="48"/>
      <c r="Q262" s="48"/>
      <c r="R262" s="48"/>
      <c r="S262" s="48"/>
      <c r="T262" s="48"/>
      <c r="U262" s="48"/>
      <c r="V262" s="48"/>
      <c r="W262" s="48"/>
      <c r="X262" s="48"/>
      <c r="Y262" s="48"/>
      <c r="Z262" s="48"/>
      <c r="AA262" s="48"/>
      <c r="AB262" s="48"/>
      <c r="AC262" s="48"/>
      <c r="AD262" s="48"/>
      <c r="AE262" s="48"/>
      <c r="AF262" s="48"/>
      <c r="AG262" s="48"/>
      <c r="AH262" s="48"/>
      <c r="AI262" s="48"/>
      <c r="AJ262" s="48"/>
    </row>
    <row r="263" customFormat="false" ht="15" hidden="false" customHeight="false" outlineLevel="0" collapsed="false">
      <c r="A263" s="8"/>
      <c r="B263" s="42"/>
      <c r="C263" s="43"/>
      <c r="D263" s="44"/>
      <c r="E263" s="44"/>
      <c r="F263" s="45"/>
      <c r="G263" s="46"/>
      <c r="H263" s="47"/>
      <c r="I263" s="9"/>
      <c r="J263" s="9"/>
      <c r="K263" s="43"/>
      <c r="L263" s="9"/>
      <c r="M263" s="9"/>
      <c r="N263" s="43"/>
      <c r="O263" s="48"/>
      <c r="P263" s="48"/>
      <c r="Q263" s="48"/>
      <c r="R263" s="48"/>
      <c r="S263" s="48"/>
      <c r="T263" s="48"/>
      <c r="U263" s="48"/>
      <c r="V263" s="48"/>
      <c r="W263" s="48"/>
      <c r="X263" s="48"/>
      <c r="Y263" s="48"/>
      <c r="Z263" s="48"/>
      <c r="AA263" s="48"/>
      <c r="AB263" s="48"/>
      <c r="AC263" s="48"/>
      <c r="AD263" s="48"/>
      <c r="AE263" s="48"/>
      <c r="AF263" s="48"/>
      <c r="AG263" s="48"/>
      <c r="AH263" s="48"/>
      <c r="AI263" s="48"/>
      <c r="AJ263" s="48"/>
    </row>
    <row r="264" customFormat="false" ht="15" hidden="false" customHeight="false" outlineLevel="0" collapsed="false">
      <c r="A264" s="8"/>
      <c r="B264" s="42"/>
      <c r="C264" s="43"/>
      <c r="D264" s="44"/>
      <c r="E264" s="44"/>
      <c r="F264" s="45"/>
      <c r="G264" s="46"/>
      <c r="H264" s="47"/>
      <c r="I264" s="9"/>
      <c r="J264" s="9"/>
      <c r="K264" s="43"/>
      <c r="L264" s="9"/>
      <c r="M264" s="9"/>
      <c r="N264" s="43"/>
      <c r="O264" s="48"/>
      <c r="P264" s="48"/>
      <c r="Q264" s="48"/>
      <c r="R264" s="48"/>
      <c r="S264" s="48"/>
      <c r="T264" s="48"/>
      <c r="U264" s="48"/>
      <c r="V264" s="48"/>
      <c r="W264" s="48"/>
      <c r="X264" s="48"/>
      <c r="Y264" s="48"/>
      <c r="Z264" s="48"/>
      <c r="AA264" s="48"/>
      <c r="AB264" s="48"/>
      <c r="AC264" s="48"/>
      <c r="AD264" s="48"/>
      <c r="AE264" s="48"/>
      <c r="AF264" s="48"/>
      <c r="AG264" s="48"/>
      <c r="AH264" s="48"/>
      <c r="AI264" s="48"/>
      <c r="AJ264" s="48"/>
    </row>
    <row r="265" customFormat="false" ht="15" hidden="false" customHeight="false" outlineLevel="0" collapsed="false">
      <c r="A265" s="8"/>
      <c r="B265" s="42"/>
      <c r="C265" s="43"/>
      <c r="D265" s="44"/>
      <c r="E265" s="44"/>
      <c r="F265" s="45"/>
      <c r="G265" s="46"/>
      <c r="H265" s="47"/>
      <c r="I265" s="9"/>
      <c r="J265" s="9"/>
      <c r="K265" s="43"/>
      <c r="L265" s="9"/>
      <c r="M265" s="9"/>
      <c r="N265" s="43"/>
      <c r="O265" s="48"/>
      <c r="P265" s="48"/>
      <c r="Q265" s="48"/>
      <c r="R265" s="48"/>
      <c r="S265" s="48"/>
      <c r="T265" s="48"/>
      <c r="U265" s="48"/>
      <c r="V265" s="48"/>
      <c r="W265" s="48"/>
      <c r="X265" s="48"/>
      <c r="Y265" s="48"/>
      <c r="Z265" s="48"/>
      <c r="AA265" s="48"/>
      <c r="AB265" s="48"/>
      <c r="AC265" s="48"/>
      <c r="AD265" s="48"/>
      <c r="AE265" s="48"/>
      <c r="AF265" s="48"/>
      <c r="AG265" s="48"/>
      <c r="AH265" s="48"/>
      <c r="AI265" s="48"/>
      <c r="AJ265" s="48"/>
    </row>
    <row r="266" customFormat="false" ht="15" hidden="false" customHeight="false" outlineLevel="0" collapsed="false">
      <c r="A266" s="8"/>
      <c r="B266" s="42"/>
      <c r="C266" s="43"/>
      <c r="D266" s="44"/>
      <c r="E266" s="44"/>
      <c r="F266" s="45"/>
      <c r="G266" s="46"/>
      <c r="H266" s="47"/>
      <c r="I266" s="9"/>
      <c r="J266" s="9"/>
      <c r="K266" s="43"/>
      <c r="L266" s="9"/>
      <c r="M266" s="9"/>
      <c r="N266" s="43"/>
      <c r="O266" s="48"/>
      <c r="P266" s="48"/>
      <c r="Q266" s="48"/>
      <c r="R266" s="48"/>
      <c r="S266" s="48"/>
      <c r="T266" s="48"/>
      <c r="U266" s="48"/>
      <c r="V266" s="48"/>
      <c r="W266" s="48"/>
      <c r="X266" s="48"/>
      <c r="Y266" s="48"/>
      <c r="Z266" s="48"/>
      <c r="AA266" s="48"/>
      <c r="AB266" s="48"/>
      <c r="AC266" s="48"/>
      <c r="AD266" s="48"/>
      <c r="AE266" s="48"/>
      <c r="AF266" s="48"/>
      <c r="AG266" s="48"/>
      <c r="AH266" s="48"/>
      <c r="AI266" s="48"/>
      <c r="AJ266" s="48"/>
    </row>
    <row r="267" customFormat="false" ht="15" hidden="false" customHeight="false" outlineLevel="0" collapsed="false">
      <c r="A267" s="8"/>
      <c r="B267" s="42"/>
      <c r="C267" s="43"/>
      <c r="D267" s="44"/>
      <c r="E267" s="44"/>
      <c r="F267" s="45"/>
      <c r="G267" s="46"/>
      <c r="H267" s="47"/>
      <c r="I267" s="9"/>
      <c r="J267" s="9"/>
      <c r="K267" s="43"/>
      <c r="L267" s="9"/>
      <c r="M267" s="9"/>
      <c r="N267" s="43"/>
      <c r="O267" s="48"/>
      <c r="P267" s="48"/>
      <c r="Q267" s="48"/>
      <c r="R267" s="48"/>
      <c r="S267" s="48"/>
      <c r="T267" s="48"/>
      <c r="U267" s="48"/>
      <c r="V267" s="48"/>
      <c r="W267" s="48"/>
      <c r="X267" s="48"/>
      <c r="Y267" s="48"/>
      <c r="Z267" s="48"/>
      <c r="AA267" s="48"/>
      <c r="AB267" s="48"/>
      <c r="AC267" s="48"/>
      <c r="AD267" s="48"/>
      <c r="AE267" s="48"/>
      <c r="AF267" s="48"/>
      <c r="AG267" s="48"/>
      <c r="AH267" s="48"/>
      <c r="AI267" s="48"/>
      <c r="AJ267" s="48"/>
    </row>
    <row r="268" customFormat="false" ht="15" hidden="false" customHeight="false" outlineLevel="0" collapsed="false">
      <c r="A268" s="8"/>
      <c r="B268" s="42"/>
      <c r="C268" s="43"/>
      <c r="D268" s="44"/>
      <c r="E268" s="44"/>
      <c r="F268" s="45"/>
      <c r="G268" s="46"/>
      <c r="H268" s="47"/>
      <c r="I268" s="9"/>
      <c r="J268" s="9"/>
      <c r="K268" s="43"/>
      <c r="L268" s="9"/>
      <c r="M268" s="9"/>
      <c r="N268" s="43"/>
      <c r="O268" s="48"/>
      <c r="P268" s="48"/>
      <c r="Q268" s="48"/>
      <c r="R268" s="48"/>
      <c r="S268" s="48"/>
      <c r="T268" s="48"/>
      <c r="U268" s="48"/>
      <c r="V268" s="48"/>
      <c r="W268" s="48"/>
      <c r="X268" s="48"/>
      <c r="Y268" s="48"/>
      <c r="Z268" s="48"/>
      <c r="AA268" s="48"/>
      <c r="AB268" s="48"/>
      <c r="AC268" s="48"/>
      <c r="AD268" s="48"/>
      <c r="AE268" s="48"/>
      <c r="AF268" s="48"/>
      <c r="AG268" s="48"/>
      <c r="AH268" s="48"/>
      <c r="AI268" s="48"/>
      <c r="AJ268" s="48"/>
    </row>
    <row r="269" customFormat="false" ht="15" hidden="false" customHeight="false" outlineLevel="0" collapsed="false">
      <c r="A269" s="8"/>
      <c r="B269" s="42"/>
      <c r="C269" s="43"/>
      <c r="D269" s="44"/>
      <c r="E269" s="44"/>
      <c r="F269" s="45"/>
      <c r="G269" s="46"/>
      <c r="H269" s="47"/>
      <c r="I269" s="9"/>
      <c r="J269" s="9"/>
      <c r="K269" s="43"/>
      <c r="L269" s="9"/>
      <c r="M269" s="9"/>
      <c r="N269" s="43"/>
      <c r="O269" s="48"/>
      <c r="P269" s="48"/>
      <c r="Q269" s="48"/>
      <c r="R269" s="48"/>
      <c r="S269" s="48"/>
      <c r="T269" s="48"/>
      <c r="U269" s="48"/>
      <c r="V269" s="48"/>
      <c r="W269" s="48"/>
      <c r="X269" s="48"/>
      <c r="Y269" s="48"/>
      <c r="Z269" s="48"/>
      <c r="AA269" s="48"/>
      <c r="AB269" s="48"/>
      <c r="AC269" s="48"/>
      <c r="AD269" s="48"/>
      <c r="AE269" s="48"/>
      <c r="AF269" s="48"/>
      <c r="AG269" s="48"/>
      <c r="AH269" s="48"/>
      <c r="AI269" s="48"/>
      <c r="AJ269" s="48"/>
    </row>
    <row r="270" customFormat="false" ht="15" hidden="false" customHeight="false" outlineLevel="0" collapsed="false">
      <c r="A270" s="8"/>
      <c r="B270" s="42"/>
      <c r="C270" s="43"/>
      <c r="D270" s="44"/>
      <c r="E270" s="44"/>
      <c r="F270" s="45"/>
      <c r="G270" s="46"/>
      <c r="H270" s="47"/>
      <c r="I270" s="9"/>
      <c r="J270" s="9"/>
      <c r="K270" s="43"/>
      <c r="L270" s="9"/>
      <c r="M270" s="9"/>
      <c r="N270" s="43"/>
      <c r="O270" s="48"/>
      <c r="P270" s="48"/>
      <c r="Q270" s="48"/>
      <c r="R270" s="48"/>
      <c r="S270" s="48"/>
      <c r="T270" s="48"/>
      <c r="U270" s="48"/>
      <c r="V270" s="48"/>
      <c r="W270" s="48"/>
      <c r="X270" s="48"/>
      <c r="Y270" s="48"/>
      <c r="Z270" s="48"/>
      <c r="AA270" s="48"/>
      <c r="AB270" s="48"/>
      <c r="AC270" s="48"/>
      <c r="AD270" s="48"/>
      <c r="AE270" s="48"/>
      <c r="AF270" s="48"/>
      <c r="AG270" s="48"/>
      <c r="AH270" s="48"/>
      <c r="AI270" s="48"/>
      <c r="AJ270" s="48"/>
    </row>
    <row r="271" customFormat="false" ht="15" hidden="false" customHeight="false" outlineLevel="0" collapsed="false">
      <c r="A271" s="8"/>
      <c r="B271" s="42"/>
      <c r="C271" s="43"/>
      <c r="D271" s="44"/>
      <c r="E271" s="44"/>
      <c r="F271" s="45"/>
      <c r="G271" s="46"/>
      <c r="H271" s="47"/>
      <c r="I271" s="9"/>
      <c r="J271" s="9"/>
      <c r="K271" s="43"/>
      <c r="L271" s="9"/>
      <c r="M271" s="9"/>
      <c r="N271" s="43"/>
      <c r="O271" s="48"/>
      <c r="P271" s="48"/>
      <c r="Q271" s="48"/>
      <c r="R271" s="48"/>
      <c r="S271" s="48"/>
      <c r="T271" s="48"/>
      <c r="U271" s="48"/>
      <c r="V271" s="48"/>
      <c r="W271" s="48"/>
      <c r="X271" s="48"/>
      <c r="Y271" s="48"/>
      <c r="Z271" s="48"/>
      <c r="AA271" s="48"/>
      <c r="AB271" s="48"/>
      <c r="AC271" s="48"/>
      <c r="AD271" s="48"/>
      <c r="AE271" s="48"/>
      <c r="AF271" s="48"/>
      <c r="AG271" s="48"/>
      <c r="AH271" s="48"/>
      <c r="AI271" s="48"/>
      <c r="AJ271" s="48"/>
    </row>
    <row r="272" customFormat="false" ht="15" hidden="false" customHeight="false" outlineLevel="0" collapsed="false">
      <c r="A272" s="8"/>
      <c r="B272" s="42"/>
      <c r="C272" s="43"/>
      <c r="D272" s="44"/>
      <c r="E272" s="44"/>
      <c r="F272" s="45"/>
      <c r="G272" s="46"/>
      <c r="H272" s="47"/>
      <c r="I272" s="9"/>
      <c r="J272" s="9"/>
      <c r="K272" s="43"/>
      <c r="L272" s="9"/>
      <c r="M272" s="9"/>
      <c r="N272" s="43"/>
      <c r="O272" s="48"/>
      <c r="P272" s="48"/>
      <c r="Q272" s="48"/>
      <c r="R272" s="48"/>
      <c r="S272" s="48"/>
      <c r="T272" s="48"/>
      <c r="U272" s="48"/>
      <c r="V272" s="48"/>
      <c r="W272" s="48"/>
      <c r="X272" s="48"/>
      <c r="Y272" s="48"/>
      <c r="Z272" s="48"/>
      <c r="AA272" s="48"/>
      <c r="AB272" s="48"/>
      <c r="AC272" s="48"/>
      <c r="AD272" s="48"/>
      <c r="AE272" s="48"/>
      <c r="AF272" s="48"/>
      <c r="AG272" s="48"/>
      <c r="AH272" s="48"/>
      <c r="AI272" s="48"/>
      <c r="AJ272" s="48"/>
    </row>
    <row r="273" customFormat="false" ht="15" hidden="false" customHeight="false" outlineLevel="0" collapsed="false">
      <c r="A273" s="8"/>
      <c r="B273" s="42"/>
      <c r="C273" s="43"/>
      <c r="D273" s="44"/>
      <c r="E273" s="44"/>
      <c r="F273" s="45"/>
      <c r="G273" s="46"/>
      <c r="H273" s="47"/>
      <c r="I273" s="9"/>
      <c r="J273" s="9"/>
      <c r="K273" s="43"/>
      <c r="L273" s="9"/>
      <c r="M273" s="9"/>
      <c r="N273" s="43"/>
      <c r="O273" s="48"/>
      <c r="P273" s="48"/>
      <c r="Q273" s="48"/>
      <c r="R273" s="48"/>
      <c r="S273" s="48"/>
      <c r="T273" s="48"/>
      <c r="U273" s="48"/>
      <c r="V273" s="48"/>
      <c r="W273" s="48"/>
      <c r="X273" s="48"/>
      <c r="Y273" s="48"/>
      <c r="Z273" s="48"/>
      <c r="AA273" s="48"/>
      <c r="AB273" s="48"/>
      <c r="AC273" s="48"/>
      <c r="AD273" s="48"/>
      <c r="AE273" s="48"/>
      <c r="AF273" s="48"/>
      <c r="AG273" s="48"/>
      <c r="AH273" s="48"/>
      <c r="AI273" s="48"/>
      <c r="AJ273" s="48"/>
    </row>
    <row r="274" customFormat="false" ht="15" hidden="false" customHeight="false" outlineLevel="0" collapsed="false">
      <c r="A274" s="8"/>
      <c r="B274" s="42"/>
      <c r="C274" s="43"/>
      <c r="D274" s="44"/>
      <c r="E274" s="44"/>
      <c r="F274" s="45"/>
      <c r="G274" s="46"/>
      <c r="H274" s="47"/>
      <c r="I274" s="9"/>
      <c r="J274" s="9"/>
      <c r="K274" s="43"/>
      <c r="L274" s="9"/>
      <c r="M274" s="9"/>
      <c r="N274" s="43"/>
      <c r="O274" s="48"/>
      <c r="P274" s="48"/>
      <c r="Q274" s="48"/>
      <c r="R274" s="48"/>
      <c r="S274" s="48"/>
      <c r="T274" s="48"/>
      <c r="U274" s="48"/>
      <c r="V274" s="48"/>
      <c r="W274" s="48"/>
      <c r="X274" s="48"/>
      <c r="Y274" s="48"/>
      <c r="Z274" s="48"/>
      <c r="AA274" s="48"/>
      <c r="AB274" s="48"/>
      <c r="AC274" s="48"/>
      <c r="AD274" s="48"/>
      <c r="AE274" s="48"/>
      <c r="AF274" s="48"/>
      <c r="AG274" s="48"/>
      <c r="AH274" s="48"/>
      <c r="AI274" s="48"/>
      <c r="AJ274" s="48"/>
    </row>
    <row r="275" customFormat="false" ht="15" hidden="false" customHeight="false" outlineLevel="0" collapsed="false">
      <c r="A275" s="8"/>
      <c r="B275" s="42"/>
      <c r="C275" s="43"/>
      <c r="D275" s="44"/>
      <c r="E275" s="44"/>
      <c r="F275" s="45"/>
      <c r="G275" s="46"/>
      <c r="H275" s="47"/>
      <c r="I275" s="9"/>
      <c r="J275" s="9"/>
      <c r="K275" s="43"/>
      <c r="L275" s="9"/>
      <c r="M275" s="9"/>
      <c r="N275" s="43"/>
      <c r="O275" s="48"/>
      <c r="P275" s="48"/>
      <c r="Q275" s="48"/>
      <c r="R275" s="48"/>
      <c r="S275" s="48"/>
      <c r="T275" s="48"/>
      <c r="U275" s="48"/>
      <c r="V275" s="48"/>
      <c r="W275" s="48"/>
      <c r="X275" s="48"/>
      <c r="Y275" s="48"/>
      <c r="Z275" s="48"/>
      <c r="AA275" s="48"/>
      <c r="AB275" s="48"/>
      <c r="AC275" s="48"/>
      <c r="AD275" s="48"/>
      <c r="AE275" s="48"/>
      <c r="AF275" s="48"/>
      <c r="AG275" s="48"/>
      <c r="AH275" s="48"/>
      <c r="AI275" s="48"/>
      <c r="AJ275" s="48"/>
    </row>
    <row r="276" customFormat="false" ht="15" hidden="false" customHeight="false" outlineLevel="0" collapsed="false">
      <c r="A276" s="8"/>
      <c r="B276" s="42"/>
      <c r="C276" s="43"/>
      <c r="D276" s="44"/>
      <c r="E276" s="44"/>
      <c r="F276" s="45"/>
      <c r="G276" s="46"/>
      <c r="H276" s="47"/>
      <c r="I276" s="9"/>
      <c r="J276" s="9"/>
      <c r="K276" s="43"/>
      <c r="L276" s="9"/>
      <c r="M276" s="9"/>
      <c r="N276" s="43"/>
      <c r="O276" s="48"/>
      <c r="P276" s="48"/>
      <c r="Q276" s="48"/>
      <c r="R276" s="48"/>
      <c r="S276" s="48"/>
      <c r="T276" s="48"/>
      <c r="U276" s="48"/>
      <c r="V276" s="48"/>
      <c r="W276" s="48"/>
      <c r="X276" s="48"/>
      <c r="Y276" s="48"/>
      <c r="Z276" s="48"/>
      <c r="AA276" s="48"/>
      <c r="AB276" s="48"/>
      <c r="AC276" s="48"/>
      <c r="AD276" s="48"/>
      <c r="AE276" s="48"/>
      <c r="AF276" s="48"/>
      <c r="AG276" s="48"/>
      <c r="AH276" s="48"/>
      <c r="AI276" s="48"/>
      <c r="AJ276" s="48"/>
    </row>
    <row r="277" customFormat="false" ht="15" hidden="false" customHeight="false" outlineLevel="0" collapsed="false">
      <c r="A277" s="8"/>
      <c r="B277" s="42"/>
      <c r="C277" s="43"/>
      <c r="D277" s="44"/>
      <c r="E277" s="44"/>
      <c r="F277" s="45"/>
      <c r="G277" s="46"/>
      <c r="H277" s="47"/>
      <c r="I277" s="9"/>
      <c r="J277" s="9"/>
      <c r="K277" s="43"/>
      <c r="L277" s="9"/>
      <c r="M277" s="9"/>
      <c r="N277" s="43"/>
      <c r="O277" s="48"/>
      <c r="P277" s="48"/>
      <c r="Q277" s="48"/>
      <c r="R277" s="48"/>
      <c r="S277" s="48"/>
      <c r="T277" s="48"/>
      <c r="U277" s="48"/>
      <c r="V277" s="48"/>
      <c r="W277" s="48"/>
      <c r="X277" s="48"/>
      <c r="Y277" s="48"/>
      <c r="Z277" s="48"/>
      <c r="AA277" s="48"/>
      <c r="AB277" s="48"/>
      <c r="AC277" s="48"/>
      <c r="AD277" s="48"/>
      <c r="AE277" s="48"/>
      <c r="AF277" s="48"/>
      <c r="AG277" s="48"/>
      <c r="AH277" s="48"/>
      <c r="AI277" s="48"/>
      <c r="AJ277" s="48"/>
    </row>
    <row r="278" customFormat="false" ht="15" hidden="false" customHeight="false" outlineLevel="0" collapsed="false">
      <c r="A278" s="8"/>
      <c r="B278" s="42"/>
      <c r="C278" s="43"/>
      <c r="D278" s="44"/>
      <c r="E278" s="44"/>
      <c r="F278" s="45"/>
      <c r="G278" s="46"/>
      <c r="H278" s="47"/>
      <c r="I278" s="9"/>
      <c r="J278" s="9"/>
      <c r="K278" s="43"/>
      <c r="L278" s="9"/>
      <c r="M278" s="9"/>
      <c r="N278" s="43"/>
      <c r="O278" s="48"/>
      <c r="P278" s="48"/>
      <c r="Q278" s="48"/>
      <c r="R278" s="48"/>
      <c r="S278" s="48"/>
      <c r="T278" s="48"/>
      <c r="U278" s="48"/>
      <c r="V278" s="48"/>
      <c r="W278" s="48"/>
      <c r="X278" s="48"/>
      <c r="Y278" s="48"/>
      <c r="Z278" s="48"/>
      <c r="AA278" s="48"/>
      <c r="AB278" s="48"/>
      <c r="AC278" s="48"/>
      <c r="AD278" s="48"/>
      <c r="AE278" s="48"/>
      <c r="AF278" s="48"/>
      <c r="AG278" s="48"/>
      <c r="AH278" s="48"/>
      <c r="AI278" s="48"/>
      <c r="AJ278" s="48"/>
    </row>
    <row r="279" customFormat="false" ht="15" hidden="false" customHeight="false" outlineLevel="0" collapsed="false">
      <c r="A279" s="8"/>
      <c r="B279" s="42"/>
      <c r="C279" s="43"/>
      <c r="D279" s="44"/>
      <c r="E279" s="44"/>
      <c r="F279" s="45"/>
      <c r="G279" s="46"/>
      <c r="H279" s="47"/>
      <c r="I279" s="9"/>
      <c r="J279" s="9"/>
      <c r="K279" s="43"/>
      <c r="L279" s="9"/>
      <c r="M279" s="9"/>
      <c r="N279" s="43"/>
      <c r="O279" s="48"/>
      <c r="P279" s="48"/>
      <c r="Q279" s="48"/>
      <c r="R279" s="48"/>
      <c r="S279" s="48"/>
      <c r="T279" s="48"/>
      <c r="U279" s="48"/>
      <c r="V279" s="48"/>
      <c r="W279" s="48"/>
      <c r="X279" s="48"/>
      <c r="Y279" s="48"/>
      <c r="Z279" s="48"/>
      <c r="AA279" s="48"/>
      <c r="AB279" s="48"/>
      <c r="AC279" s="48"/>
      <c r="AD279" s="48"/>
      <c r="AE279" s="48"/>
      <c r="AF279" s="48"/>
      <c r="AG279" s="48"/>
      <c r="AH279" s="48"/>
      <c r="AI279" s="48"/>
      <c r="AJ279" s="48"/>
    </row>
    <row r="280" customFormat="false" ht="15" hidden="false" customHeight="false" outlineLevel="0" collapsed="false">
      <c r="A280" s="8"/>
      <c r="B280" s="42"/>
      <c r="C280" s="43"/>
      <c r="D280" s="44"/>
      <c r="E280" s="44"/>
      <c r="F280" s="45"/>
      <c r="G280" s="46"/>
      <c r="H280" s="47"/>
      <c r="I280" s="9"/>
      <c r="J280" s="9"/>
      <c r="K280" s="43"/>
      <c r="L280" s="9"/>
      <c r="M280" s="9"/>
      <c r="N280" s="43"/>
      <c r="O280" s="48"/>
      <c r="P280" s="48"/>
      <c r="Q280" s="48"/>
      <c r="R280" s="48"/>
      <c r="S280" s="48"/>
      <c r="T280" s="48"/>
      <c r="U280" s="48"/>
      <c r="V280" s="48"/>
      <c r="W280" s="48"/>
      <c r="X280" s="48"/>
      <c r="Y280" s="48"/>
      <c r="Z280" s="48"/>
      <c r="AA280" s="48"/>
      <c r="AB280" s="48"/>
      <c r="AC280" s="48"/>
      <c r="AD280" s="48"/>
      <c r="AE280" s="48"/>
      <c r="AF280" s="48"/>
      <c r="AG280" s="48"/>
      <c r="AH280" s="48"/>
      <c r="AI280" s="48"/>
      <c r="AJ280" s="48"/>
    </row>
    <row r="281" customFormat="false" ht="15" hidden="false" customHeight="false" outlineLevel="0" collapsed="false">
      <c r="A281" s="8"/>
      <c r="B281" s="42"/>
      <c r="C281" s="43"/>
      <c r="D281" s="44"/>
      <c r="E281" s="44"/>
      <c r="F281" s="45"/>
      <c r="G281" s="46"/>
      <c r="H281" s="47"/>
      <c r="I281" s="9"/>
      <c r="J281" s="9"/>
      <c r="K281" s="43"/>
      <c r="L281" s="9"/>
      <c r="M281" s="9"/>
      <c r="N281" s="43"/>
      <c r="O281" s="48"/>
      <c r="P281" s="48"/>
      <c r="Q281" s="48"/>
      <c r="R281" s="48"/>
      <c r="S281" s="48"/>
      <c r="T281" s="48"/>
      <c r="U281" s="48"/>
      <c r="V281" s="48"/>
      <c r="W281" s="48"/>
      <c r="X281" s="48"/>
      <c r="Y281" s="48"/>
      <c r="Z281" s="48"/>
      <c r="AA281" s="48"/>
      <c r="AB281" s="48"/>
      <c r="AC281" s="48"/>
      <c r="AD281" s="48"/>
      <c r="AE281" s="48"/>
      <c r="AF281" s="48"/>
      <c r="AG281" s="48"/>
      <c r="AH281" s="48"/>
      <c r="AI281" s="48"/>
      <c r="AJ281" s="48"/>
    </row>
    <row r="282" customFormat="false" ht="15" hidden="false" customHeight="false" outlineLevel="0" collapsed="false">
      <c r="A282" s="8"/>
      <c r="B282" s="42"/>
      <c r="C282" s="43"/>
      <c r="D282" s="44"/>
      <c r="E282" s="44"/>
      <c r="F282" s="45"/>
      <c r="G282" s="46"/>
      <c r="H282" s="47"/>
      <c r="I282" s="9"/>
      <c r="J282" s="9"/>
      <c r="K282" s="43"/>
      <c r="L282" s="9"/>
      <c r="M282" s="9"/>
      <c r="N282" s="43"/>
      <c r="O282" s="48"/>
      <c r="P282" s="48"/>
      <c r="Q282" s="48"/>
      <c r="R282" s="48"/>
      <c r="S282" s="48"/>
      <c r="T282" s="48"/>
      <c r="U282" s="48"/>
      <c r="V282" s="48"/>
      <c r="W282" s="48"/>
      <c r="X282" s="48"/>
      <c r="Y282" s="48"/>
      <c r="Z282" s="48"/>
      <c r="AA282" s="48"/>
      <c r="AB282" s="48"/>
      <c r="AC282" s="48"/>
      <c r="AD282" s="48"/>
      <c r="AE282" s="48"/>
      <c r="AF282" s="48"/>
      <c r="AG282" s="48"/>
      <c r="AH282" s="48"/>
      <c r="AI282" s="48"/>
      <c r="AJ282" s="48"/>
    </row>
    <row r="283" customFormat="false" ht="15" hidden="false" customHeight="false" outlineLevel="0" collapsed="false">
      <c r="A283" s="8"/>
      <c r="B283" s="42"/>
      <c r="C283" s="43"/>
      <c r="D283" s="44"/>
      <c r="E283" s="44"/>
      <c r="F283" s="45"/>
      <c r="G283" s="46"/>
      <c r="H283" s="47"/>
      <c r="I283" s="9"/>
      <c r="J283" s="9"/>
      <c r="K283" s="43"/>
      <c r="L283" s="9"/>
      <c r="M283" s="9"/>
      <c r="N283" s="43"/>
      <c r="O283" s="48"/>
      <c r="P283" s="48"/>
      <c r="Q283" s="48"/>
      <c r="R283" s="48"/>
      <c r="S283" s="48"/>
      <c r="T283" s="48"/>
      <c r="U283" s="48"/>
      <c r="V283" s="48"/>
      <c r="W283" s="48"/>
      <c r="X283" s="48"/>
      <c r="Y283" s="48"/>
      <c r="Z283" s="48"/>
      <c r="AA283" s="48"/>
      <c r="AB283" s="48"/>
      <c r="AC283" s="48"/>
      <c r="AD283" s="48"/>
      <c r="AE283" s="48"/>
      <c r="AF283" s="48"/>
      <c r="AG283" s="48"/>
      <c r="AH283" s="48"/>
      <c r="AI283" s="48"/>
      <c r="AJ283" s="48"/>
    </row>
    <row r="284" customFormat="false" ht="15" hidden="false" customHeight="false" outlineLevel="0" collapsed="false">
      <c r="A284" s="8"/>
      <c r="B284" s="42"/>
      <c r="C284" s="43"/>
      <c r="D284" s="44"/>
      <c r="E284" s="44"/>
      <c r="F284" s="45"/>
      <c r="G284" s="46"/>
      <c r="H284" s="47"/>
      <c r="I284" s="9"/>
      <c r="J284" s="9"/>
      <c r="K284" s="43"/>
      <c r="L284" s="9"/>
      <c r="M284" s="9"/>
      <c r="N284" s="43"/>
      <c r="O284" s="48"/>
      <c r="P284" s="48"/>
      <c r="Q284" s="48"/>
      <c r="R284" s="48"/>
      <c r="S284" s="48"/>
      <c r="T284" s="48"/>
      <c r="U284" s="48"/>
      <c r="V284" s="48"/>
      <c r="W284" s="48"/>
      <c r="X284" s="48"/>
      <c r="Y284" s="48"/>
      <c r="Z284" s="48"/>
      <c r="AA284" s="48"/>
      <c r="AB284" s="48"/>
      <c r="AC284" s="48"/>
      <c r="AD284" s="48"/>
      <c r="AE284" s="48"/>
      <c r="AF284" s="48"/>
      <c r="AG284" s="48"/>
      <c r="AH284" s="48"/>
      <c r="AI284" s="48"/>
      <c r="AJ284" s="48"/>
    </row>
    <row r="285" customFormat="false" ht="15" hidden="false" customHeight="false" outlineLevel="0" collapsed="false">
      <c r="A285" s="8"/>
      <c r="B285" s="42"/>
      <c r="C285" s="43"/>
      <c r="D285" s="44"/>
      <c r="E285" s="44"/>
      <c r="F285" s="45"/>
      <c r="G285" s="46"/>
      <c r="H285" s="47"/>
      <c r="I285" s="9"/>
      <c r="J285" s="9"/>
      <c r="K285" s="43"/>
      <c r="L285" s="9"/>
      <c r="M285" s="9"/>
      <c r="N285" s="43"/>
      <c r="O285" s="48"/>
      <c r="P285" s="48"/>
      <c r="Q285" s="48"/>
      <c r="R285" s="48"/>
      <c r="S285" s="48"/>
      <c r="T285" s="48"/>
      <c r="U285" s="48"/>
      <c r="V285" s="48"/>
      <c r="W285" s="48"/>
      <c r="X285" s="48"/>
      <c r="Y285" s="48"/>
      <c r="Z285" s="48"/>
      <c r="AA285" s="48"/>
      <c r="AB285" s="48"/>
      <c r="AC285" s="48"/>
      <c r="AD285" s="48"/>
      <c r="AE285" s="48"/>
      <c r="AF285" s="48"/>
      <c r="AG285" s="48"/>
      <c r="AH285" s="48"/>
      <c r="AI285" s="48"/>
      <c r="AJ285" s="48"/>
    </row>
    <row r="286" customFormat="false" ht="15" hidden="false" customHeight="false" outlineLevel="0" collapsed="false">
      <c r="A286" s="8"/>
      <c r="B286" s="42"/>
      <c r="C286" s="43"/>
      <c r="D286" s="44"/>
      <c r="E286" s="44"/>
      <c r="F286" s="45"/>
      <c r="G286" s="46"/>
      <c r="H286" s="47"/>
      <c r="I286" s="9"/>
      <c r="J286" s="9"/>
      <c r="K286" s="43"/>
      <c r="L286" s="9"/>
      <c r="M286" s="9"/>
      <c r="N286" s="43"/>
      <c r="O286" s="48"/>
      <c r="P286" s="48"/>
      <c r="Q286" s="48"/>
      <c r="R286" s="48"/>
      <c r="S286" s="48"/>
      <c r="T286" s="48"/>
      <c r="U286" s="48"/>
      <c r="V286" s="48"/>
      <c r="W286" s="48"/>
      <c r="X286" s="48"/>
      <c r="Y286" s="48"/>
      <c r="Z286" s="48"/>
      <c r="AA286" s="48"/>
      <c r="AB286" s="48"/>
      <c r="AC286" s="48"/>
      <c r="AD286" s="48"/>
      <c r="AE286" s="48"/>
      <c r="AF286" s="48"/>
      <c r="AG286" s="48"/>
      <c r="AH286" s="48"/>
      <c r="AI286" s="48"/>
      <c r="AJ286" s="48"/>
    </row>
    <row r="287" customFormat="false" ht="15" hidden="false" customHeight="false" outlineLevel="0" collapsed="false">
      <c r="A287" s="8"/>
      <c r="B287" s="42"/>
      <c r="C287" s="43"/>
      <c r="D287" s="44"/>
      <c r="E287" s="44"/>
      <c r="F287" s="45"/>
      <c r="G287" s="46"/>
      <c r="H287" s="47"/>
      <c r="I287" s="9"/>
      <c r="J287" s="9"/>
      <c r="K287" s="43"/>
      <c r="L287" s="9"/>
      <c r="M287" s="9"/>
      <c r="N287" s="43"/>
      <c r="O287" s="48"/>
      <c r="P287" s="48"/>
      <c r="Q287" s="48"/>
      <c r="R287" s="48"/>
      <c r="S287" s="48"/>
      <c r="T287" s="48"/>
      <c r="U287" s="48"/>
      <c r="V287" s="48"/>
      <c r="W287" s="48"/>
      <c r="X287" s="48"/>
      <c r="Y287" s="48"/>
      <c r="Z287" s="48"/>
      <c r="AA287" s="48"/>
      <c r="AB287" s="48"/>
      <c r="AC287" s="48"/>
      <c r="AD287" s="48"/>
      <c r="AE287" s="48"/>
      <c r="AF287" s="48"/>
      <c r="AG287" s="48"/>
      <c r="AH287" s="48"/>
      <c r="AI287" s="48"/>
      <c r="AJ287" s="48"/>
    </row>
    <row r="288" customFormat="false" ht="15" hidden="false" customHeight="false" outlineLevel="0" collapsed="false">
      <c r="A288" s="8"/>
      <c r="B288" s="42"/>
      <c r="C288" s="43"/>
      <c r="D288" s="44"/>
      <c r="E288" s="44"/>
      <c r="F288" s="45"/>
      <c r="G288" s="46"/>
      <c r="H288" s="47"/>
      <c r="I288" s="9"/>
      <c r="J288" s="9"/>
      <c r="K288" s="43"/>
      <c r="L288" s="9"/>
      <c r="M288" s="9"/>
      <c r="N288" s="43"/>
      <c r="O288" s="48"/>
      <c r="P288" s="48"/>
      <c r="Q288" s="48"/>
      <c r="R288" s="48"/>
      <c r="S288" s="48"/>
      <c r="T288" s="48"/>
      <c r="U288" s="48"/>
      <c r="V288" s="48"/>
      <c r="W288" s="48"/>
      <c r="X288" s="48"/>
      <c r="Y288" s="48"/>
      <c r="Z288" s="48"/>
      <c r="AA288" s="48"/>
      <c r="AB288" s="48"/>
      <c r="AC288" s="48"/>
      <c r="AD288" s="48"/>
      <c r="AE288" s="48"/>
      <c r="AF288" s="48"/>
      <c r="AG288" s="48"/>
      <c r="AH288" s="48"/>
      <c r="AI288" s="48"/>
      <c r="AJ288" s="48"/>
    </row>
    <row r="289" customFormat="false" ht="15" hidden="false" customHeight="false" outlineLevel="0" collapsed="false">
      <c r="A289" s="8"/>
      <c r="B289" s="42"/>
      <c r="C289" s="43"/>
      <c r="D289" s="44"/>
      <c r="E289" s="44"/>
      <c r="F289" s="45"/>
      <c r="G289" s="46"/>
      <c r="H289" s="47"/>
      <c r="I289" s="9"/>
      <c r="J289" s="9"/>
      <c r="K289" s="43"/>
      <c r="L289" s="9"/>
      <c r="M289" s="9"/>
      <c r="N289" s="43"/>
      <c r="O289" s="48"/>
      <c r="P289" s="48"/>
      <c r="Q289" s="48"/>
      <c r="R289" s="48"/>
      <c r="S289" s="48"/>
      <c r="T289" s="48"/>
      <c r="U289" s="48"/>
      <c r="V289" s="48"/>
      <c r="W289" s="48"/>
      <c r="X289" s="48"/>
      <c r="Y289" s="48"/>
      <c r="Z289" s="48"/>
      <c r="AA289" s="48"/>
      <c r="AB289" s="48"/>
      <c r="AC289" s="48"/>
      <c r="AD289" s="48"/>
      <c r="AE289" s="48"/>
      <c r="AF289" s="48"/>
      <c r="AG289" s="48"/>
      <c r="AH289" s="48"/>
      <c r="AI289" s="48"/>
      <c r="AJ289" s="48"/>
    </row>
    <row r="290" customFormat="false" ht="15" hidden="false" customHeight="false" outlineLevel="0" collapsed="false">
      <c r="A290" s="8"/>
      <c r="B290" s="42"/>
      <c r="C290" s="43"/>
      <c r="D290" s="44"/>
      <c r="E290" s="44"/>
      <c r="F290" s="45"/>
      <c r="G290" s="46"/>
      <c r="H290" s="47"/>
      <c r="I290" s="9"/>
      <c r="J290" s="9"/>
      <c r="K290" s="43"/>
      <c r="L290" s="9"/>
      <c r="M290" s="9"/>
      <c r="N290" s="43"/>
      <c r="O290" s="48"/>
      <c r="P290" s="48"/>
      <c r="Q290" s="48"/>
      <c r="R290" s="48"/>
      <c r="S290" s="48"/>
      <c r="T290" s="48"/>
      <c r="U290" s="48"/>
      <c r="V290" s="48"/>
      <c r="W290" s="48"/>
      <c r="X290" s="48"/>
      <c r="Y290" s="48"/>
      <c r="Z290" s="48"/>
      <c r="AA290" s="48"/>
      <c r="AB290" s="48"/>
      <c r="AC290" s="48"/>
      <c r="AD290" s="48"/>
      <c r="AE290" s="48"/>
      <c r="AF290" s="48"/>
      <c r="AG290" s="48"/>
      <c r="AH290" s="48"/>
      <c r="AI290" s="48"/>
      <c r="AJ290" s="48"/>
    </row>
    <row r="291" customFormat="false" ht="15" hidden="false" customHeight="false" outlineLevel="0" collapsed="false">
      <c r="A291" s="8"/>
      <c r="B291" s="42"/>
      <c r="C291" s="43"/>
      <c r="D291" s="44"/>
      <c r="E291" s="44"/>
      <c r="F291" s="45"/>
      <c r="G291" s="46"/>
      <c r="H291" s="47"/>
      <c r="I291" s="9"/>
      <c r="J291" s="9"/>
      <c r="K291" s="43"/>
      <c r="L291" s="9"/>
      <c r="M291" s="9"/>
      <c r="N291" s="43"/>
      <c r="O291" s="48"/>
      <c r="P291" s="48"/>
      <c r="Q291" s="48"/>
      <c r="R291" s="48"/>
      <c r="S291" s="48"/>
      <c r="T291" s="48"/>
      <c r="U291" s="48"/>
      <c r="V291" s="48"/>
      <c r="W291" s="48"/>
      <c r="X291" s="48"/>
      <c r="Y291" s="48"/>
      <c r="Z291" s="48"/>
      <c r="AA291" s="48"/>
      <c r="AB291" s="48"/>
      <c r="AC291" s="48"/>
      <c r="AD291" s="48"/>
      <c r="AE291" s="48"/>
      <c r="AF291" s="48"/>
      <c r="AG291" s="48"/>
      <c r="AH291" s="48"/>
      <c r="AI291" s="48"/>
      <c r="AJ291" s="48"/>
    </row>
    <row r="292" customFormat="false" ht="15" hidden="false" customHeight="false" outlineLevel="0" collapsed="false">
      <c r="A292" s="8"/>
      <c r="B292" s="42"/>
      <c r="C292" s="43"/>
      <c r="D292" s="44"/>
      <c r="E292" s="44"/>
      <c r="F292" s="45"/>
      <c r="G292" s="46"/>
      <c r="H292" s="47"/>
      <c r="I292" s="9"/>
      <c r="J292" s="9"/>
      <c r="K292" s="43"/>
      <c r="L292" s="9"/>
      <c r="M292" s="9"/>
      <c r="N292" s="43"/>
      <c r="O292" s="48"/>
      <c r="P292" s="48"/>
      <c r="Q292" s="48"/>
      <c r="R292" s="48"/>
      <c r="S292" s="48"/>
      <c r="T292" s="48"/>
      <c r="U292" s="48"/>
      <c r="V292" s="48"/>
      <c r="W292" s="48"/>
      <c r="X292" s="48"/>
      <c r="Y292" s="48"/>
      <c r="Z292" s="48"/>
      <c r="AA292" s="48"/>
      <c r="AB292" s="48"/>
      <c r="AC292" s="48"/>
      <c r="AD292" s="48"/>
      <c r="AE292" s="48"/>
      <c r="AF292" s="48"/>
      <c r="AG292" s="48"/>
      <c r="AH292" s="48"/>
      <c r="AI292" s="48"/>
      <c r="AJ292" s="48"/>
    </row>
    <row r="293" customFormat="false" ht="15" hidden="false" customHeight="false" outlineLevel="0" collapsed="false">
      <c r="A293" s="8"/>
      <c r="B293" s="42"/>
      <c r="C293" s="43"/>
      <c r="D293" s="44"/>
      <c r="E293" s="44"/>
      <c r="F293" s="45"/>
      <c r="G293" s="46"/>
      <c r="H293" s="47"/>
      <c r="I293" s="9"/>
      <c r="J293" s="9"/>
      <c r="K293" s="43"/>
      <c r="L293" s="9"/>
      <c r="M293" s="9"/>
      <c r="N293" s="43"/>
      <c r="O293" s="48"/>
      <c r="P293" s="48"/>
      <c r="Q293" s="48"/>
      <c r="R293" s="48"/>
      <c r="S293" s="48"/>
      <c r="T293" s="48"/>
      <c r="U293" s="48"/>
      <c r="V293" s="48"/>
      <c r="W293" s="48"/>
      <c r="X293" s="48"/>
      <c r="Y293" s="48"/>
      <c r="Z293" s="48"/>
      <c r="AA293" s="48"/>
      <c r="AB293" s="48"/>
      <c r="AC293" s="48"/>
      <c r="AD293" s="48"/>
      <c r="AE293" s="48"/>
      <c r="AF293" s="48"/>
      <c r="AG293" s="48"/>
      <c r="AH293" s="48"/>
      <c r="AI293" s="48"/>
      <c r="AJ293" s="48"/>
    </row>
    <row r="294" customFormat="false" ht="15" hidden="false" customHeight="false" outlineLevel="0" collapsed="false">
      <c r="A294" s="8"/>
      <c r="B294" s="42"/>
      <c r="C294" s="43"/>
      <c r="D294" s="44"/>
      <c r="E294" s="44"/>
      <c r="F294" s="45"/>
      <c r="G294" s="46"/>
      <c r="H294" s="47"/>
      <c r="I294" s="9"/>
      <c r="J294" s="9"/>
      <c r="K294" s="43"/>
      <c r="L294" s="9"/>
      <c r="M294" s="9"/>
      <c r="N294" s="43"/>
      <c r="O294" s="48"/>
      <c r="P294" s="48"/>
      <c r="Q294" s="48"/>
      <c r="R294" s="48"/>
      <c r="S294" s="48"/>
      <c r="T294" s="48"/>
      <c r="U294" s="48"/>
      <c r="V294" s="48"/>
      <c r="W294" s="48"/>
      <c r="X294" s="48"/>
      <c r="Y294" s="48"/>
      <c r="Z294" s="48"/>
      <c r="AA294" s="48"/>
      <c r="AB294" s="48"/>
      <c r="AC294" s="48"/>
      <c r="AD294" s="48"/>
      <c r="AE294" s="48"/>
      <c r="AF294" s="48"/>
      <c r="AG294" s="48"/>
      <c r="AH294" s="48"/>
      <c r="AI294" s="48"/>
      <c r="AJ294" s="48"/>
    </row>
    <row r="295" customFormat="false" ht="15" hidden="false" customHeight="false" outlineLevel="0" collapsed="false">
      <c r="A295" s="8"/>
      <c r="B295" s="42"/>
      <c r="C295" s="43"/>
      <c r="D295" s="44"/>
      <c r="E295" s="44"/>
      <c r="F295" s="45"/>
      <c r="G295" s="46"/>
      <c r="H295" s="47"/>
      <c r="I295" s="9"/>
      <c r="J295" s="9"/>
      <c r="K295" s="43"/>
      <c r="L295" s="9"/>
      <c r="M295" s="9"/>
      <c r="N295" s="43"/>
      <c r="O295" s="48"/>
      <c r="P295" s="48"/>
      <c r="Q295" s="48"/>
      <c r="R295" s="48"/>
      <c r="S295" s="48"/>
      <c r="T295" s="48"/>
      <c r="U295" s="48"/>
      <c r="V295" s="48"/>
      <c r="W295" s="48"/>
      <c r="X295" s="48"/>
      <c r="Y295" s="48"/>
      <c r="Z295" s="48"/>
      <c r="AA295" s="48"/>
      <c r="AB295" s="48"/>
      <c r="AC295" s="48"/>
      <c r="AD295" s="48"/>
      <c r="AE295" s="48"/>
      <c r="AF295" s="48"/>
      <c r="AG295" s="48"/>
      <c r="AH295" s="48"/>
      <c r="AI295" s="48"/>
      <c r="AJ295" s="48"/>
    </row>
    <row r="296" customFormat="false" ht="15" hidden="false" customHeight="false" outlineLevel="0" collapsed="false">
      <c r="A296" s="8"/>
      <c r="B296" s="42"/>
      <c r="C296" s="43"/>
      <c r="D296" s="44"/>
      <c r="E296" s="44"/>
      <c r="F296" s="45"/>
      <c r="G296" s="46"/>
      <c r="H296" s="47"/>
      <c r="I296" s="9"/>
      <c r="J296" s="9"/>
      <c r="K296" s="43"/>
      <c r="L296" s="9"/>
      <c r="M296" s="9"/>
      <c r="N296" s="43"/>
      <c r="O296" s="48"/>
      <c r="P296" s="48"/>
      <c r="Q296" s="48"/>
      <c r="R296" s="48"/>
      <c r="S296" s="48"/>
      <c r="T296" s="48"/>
      <c r="U296" s="48"/>
      <c r="V296" s="48"/>
      <c r="W296" s="48"/>
      <c r="X296" s="48"/>
      <c r="Y296" s="48"/>
      <c r="Z296" s="48"/>
      <c r="AA296" s="48"/>
      <c r="AB296" s="48"/>
      <c r="AC296" s="48"/>
      <c r="AD296" s="48"/>
      <c r="AE296" s="48"/>
      <c r="AF296" s="48"/>
      <c r="AG296" s="48"/>
      <c r="AH296" s="48"/>
      <c r="AI296" s="48"/>
      <c r="AJ296" s="48"/>
    </row>
    <row r="297" customFormat="false" ht="15" hidden="false" customHeight="false" outlineLevel="0" collapsed="false">
      <c r="A297" s="8"/>
      <c r="B297" s="42"/>
      <c r="C297" s="43"/>
      <c r="D297" s="44"/>
      <c r="E297" s="44"/>
      <c r="F297" s="45"/>
      <c r="G297" s="46"/>
      <c r="H297" s="47"/>
      <c r="I297" s="9"/>
      <c r="J297" s="9"/>
      <c r="K297" s="43"/>
      <c r="L297" s="9"/>
      <c r="M297" s="9"/>
      <c r="N297" s="43"/>
      <c r="O297" s="48"/>
      <c r="P297" s="48"/>
      <c r="Q297" s="48"/>
      <c r="R297" s="48"/>
      <c r="S297" s="48"/>
      <c r="T297" s="48"/>
      <c r="U297" s="48"/>
      <c r="V297" s="48"/>
      <c r="W297" s="48"/>
      <c r="X297" s="48"/>
      <c r="Y297" s="48"/>
      <c r="Z297" s="48"/>
      <c r="AA297" s="48"/>
      <c r="AB297" s="48"/>
      <c r="AC297" s="48"/>
      <c r="AD297" s="48"/>
      <c r="AE297" s="48"/>
      <c r="AF297" s="48"/>
      <c r="AG297" s="48"/>
      <c r="AH297" s="48"/>
      <c r="AI297" s="48"/>
      <c r="AJ297" s="48"/>
    </row>
    <row r="298" customFormat="false" ht="15" hidden="false" customHeight="false" outlineLevel="0" collapsed="false">
      <c r="A298" s="8"/>
      <c r="B298" s="42"/>
      <c r="C298" s="43"/>
      <c r="D298" s="44"/>
      <c r="E298" s="44"/>
      <c r="F298" s="45"/>
      <c r="G298" s="46"/>
      <c r="H298" s="47"/>
      <c r="I298" s="9"/>
      <c r="J298" s="9"/>
      <c r="K298" s="43"/>
      <c r="L298" s="9"/>
      <c r="M298" s="9"/>
      <c r="N298" s="43"/>
      <c r="O298" s="48"/>
      <c r="P298" s="48"/>
      <c r="Q298" s="48"/>
      <c r="R298" s="48"/>
      <c r="S298" s="48"/>
      <c r="T298" s="48"/>
      <c r="U298" s="48"/>
      <c r="V298" s="48"/>
      <c r="W298" s="48"/>
      <c r="X298" s="48"/>
      <c r="Y298" s="48"/>
      <c r="Z298" s="48"/>
      <c r="AA298" s="48"/>
      <c r="AB298" s="48"/>
      <c r="AC298" s="48"/>
      <c r="AD298" s="48"/>
      <c r="AE298" s="48"/>
      <c r="AF298" s="48"/>
      <c r="AG298" s="48"/>
      <c r="AH298" s="48"/>
      <c r="AI298" s="48"/>
      <c r="AJ298" s="48"/>
    </row>
    <row r="299" customFormat="false" ht="15" hidden="false" customHeight="false" outlineLevel="0" collapsed="false">
      <c r="A299" s="8"/>
      <c r="B299" s="42"/>
      <c r="C299" s="43"/>
      <c r="D299" s="44"/>
      <c r="E299" s="44"/>
      <c r="F299" s="45"/>
      <c r="G299" s="46"/>
      <c r="H299" s="47"/>
      <c r="I299" s="9"/>
      <c r="J299" s="9"/>
      <c r="K299" s="43"/>
      <c r="L299" s="9"/>
      <c r="M299" s="9"/>
      <c r="N299" s="43"/>
      <c r="O299" s="48"/>
      <c r="P299" s="48"/>
      <c r="Q299" s="48"/>
      <c r="R299" s="48"/>
      <c r="S299" s="48"/>
      <c r="T299" s="48"/>
      <c r="U299" s="48"/>
      <c r="V299" s="48"/>
      <c r="W299" s="48"/>
      <c r="X299" s="48"/>
      <c r="Y299" s="48"/>
      <c r="Z299" s="48"/>
      <c r="AA299" s="48"/>
      <c r="AB299" s="48"/>
      <c r="AC299" s="48"/>
      <c r="AD299" s="48"/>
      <c r="AE299" s="48"/>
      <c r="AF299" s="48"/>
      <c r="AG299" s="48"/>
      <c r="AH299" s="48"/>
      <c r="AI299" s="48"/>
      <c r="AJ299" s="48"/>
    </row>
    <row r="300" customFormat="false" ht="15" hidden="false" customHeight="false" outlineLevel="0" collapsed="false">
      <c r="A300" s="8"/>
      <c r="B300" s="42"/>
      <c r="C300" s="43"/>
      <c r="D300" s="44"/>
      <c r="E300" s="44"/>
      <c r="F300" s="45"/>
      <c r="G300" s="46"/>
      <c r="H300" s="47"/>
      <c r="I300" s="9"/>
      <c r="J300" s="9"/>
      <c r="K300" s="43"/>
      <c r="L300" s="9"/>
      <c r="M300" s="9"/>
      <c r="N300" s="43"/>
      <c r="O300" s="48"/>
      <c r="P300" s="48"/>
      <c r="Q300" s="48"/>
      <c r="R300" s="48"/>
      <c r="S300" s="48"/>
      <c r="T300" s="48"/>
      <c r="U300" s="48"/>
      <c r="V300" s="48"/>
      <c r="W300" s="48"/>
      <c r="X300" s="48"/>
      <c r="Y300" s="48"/>
      <c r="Z300" s="48"/>
      <c r="AA300" s="48"/>
      <c r="AB300" s="48"/>
      <c r="AC300" s="48"/>
      <c r="AD300" s="48"/>
      <c r="AE300" s="48"/>
      <c r="AF300" s="48"/>
      <c r="AG300" s="48"/>
      <c r="AH300" s="48"/>
      <c r="AI300" s="48"/>
      <c r="AJ300" s="48"/>
    </row>
    <row r="301" customFormat="false" ht="15" hidden="false" customHeight="false" outlineLevel="0" collapsed="false">
      <c r="A301" s="8"/>
      <c r="B301" s="42"/>
      <c r="C301" s="43"/>
      <c r="D301" s="44"/>
      <c r="E301" s="44"/>
      <c r="F301" s="45"/>
      <c r="G301" s="46"/>
      <c r="H301" s="47"/>
      <c r="I301" s="9"/>
      <c r="J301" s="9"/>
      <c r="K301" s="43"/>
      <c r="L301" s="9"/>
      <c r="M301" s="9"/>
      <c r="N301" s="43"/>
      <c r="O301" s="48"/>
      <c r="P301" s="48"/>
      <c r="Q301" s="48"/>
      <c r="R301" s="48"/>
      <c r="S301" s="48"/>
      <c r="T301" s="48"/>
      <c r="U301" s="48"/>
      <c r="V301" s="48"/>
      <c r="W301" s="48"/>
      <c r="X301" s="48"/>
      <c r="Y301" s="48"/>
      <c r="Z301" s="48"/>
      <c r="AA301" s="48"/>
      <c r="AB301" s="48"/>
      <c r="AC301" s="48"/>
      <c r="AD301" s="48"/>
      <c r="AE301" s="48"/>
      <c r="AF301" s="48"/>
      <c r="AG301" s="48"/>
      <c r="AH301" s="48"/>
      <c r="AI301" s="48"/>
      <c r="AJ301" s="48"/>
    </row>
    <row r="302" customFormat="false" ht="15" hidden="false" customHeight="false" outlineLevel="0" collapsed="false">
      <c r="A302" s="8"/>
      <c r="B302" s="42"/>
      <c r="C302" s="43"/>
      <c r="D302" s="44"/>
      <c r="E302" s="44"/>
      <c r="F302" s="45"/>
      <c r="G302" s="46"/>
      <c r="H302" s="47"/>
      <c r="I302" s="9"/>
      <c r="J302" s="9"/>
      <c r="K302" s="43"/>
      <c r="L302" s="9"/>
      <c r="M302" s="9"/>
      <c r="N302" s="43"/>
      <c r="O302" s="48"/>
      <c r="P302" s="48"/>
      <c r="Q302" s="48"/>
      <c r="R302" s="48"/>
      <c r="S302" s="48"/>
      <c r="T302" s="48"/>
      <c r="U302" s="48"/>
      <c r="V302" s="48"/>
      <c r="W302" s="48"/>
      <c r="X302" s="48"/>
      <c r="Y302" s="48"/>
      <c r="Z302" s="48"/>
      <c r="AA302" s="48"/>
      <c r="AB302" s="48"/>
      <c r="AC302" s="48"/>
      <c r="AD302" s="48"/>
      <c r="AE302" s="48"/>
      <c r="AF302" s="48"/>
      <c r="AG302" s="48"/>
      <c r="AH302" s="48"/>
      <c r="AI302" s="48"/>
      <c r="AJ302" s="48"/>
    </row>
    <row r="303" customFormat="false" ht="15" hidden="false" customHeight="false" outlineLevel="0" collapsed="false">
      <c r="A303" s="8"/>
      <c r="B303" s="42"/>
      <c r="C303" s="43"/>
      <c r="D303" s="44"/>
      <c r="E303" s="44"/>
      <c r="F303" s="45"/>
      <c r="G303" s="46"/>
      <c r="H303" s="47"/>
      <c r="I303" s="9"/>
      <c r="J303" s="9"/>
      <c r="K303" s="43"/>
      <c r="L303" s="9"/>
      <c r="M303" s="9"/>
      <c r="N303" s="43"/>
      <c r="O303" s="48"/>
      <c r="P303" s="48"/>
      <c r="Q303" s="48"/>
      <c r="R303" s="48"/>
      <c r="S303" s="48"/>
      <c r="T303" s="48"/>
      <c r="U303" s="48"/>
      <c r="V303" s="48"/>
      <c r="W303" s="48"/>
      <c r="X303" s="48"/>
      <c r="Y303" s="48"/>
      <c r="Z303" s="48"/>
      <c r="AA303" s="48"/>
      <c r="AB303" s="48"/>
      <c r="AC303" s="48"/>
      <c r="AD303" s="48"/>
      <c r="AE303" s="48"/>
      <c r="AF303" s="48"/>
      <c r="AG303" s="48"/>
      <c r="AH303" s="48"/>
      <c r="AI303" s="48"/>
      <c r="AJ303" s="48"/>
    </row>
    <row r="304" customFormat="false" ht="15" hidden="false" customHeight="false" outlineLevel="0" collapsed="false">
      <c r="A304" s="8"/>
      <c r="B304" s="42"/>
      <c r="C304" s="43"/>
      <c r="D304" s="44"/>
      <c r="E304" s="44"/>
      <c r="F304" s="45"/>
      <c r="G304" s="46"/>
      <c r="H304" s="47"/>
      <c r="I304" s="9"/>
      <c r="J304" s="9"/>
      <c r="K304" s="43"/>
      <c r="L304" s="9"/>
      <c r="M304" s="9"/>
      <c r="N304" s="43"/>
      <c r="O304" s="48"/>
      <c r="P304" s="48"/>
      <c r="Q304" s="48"/>
      <c r="R304" s="48"/>
      <c r="S304" s="48"/>
      <c r="T304" s="48"/>
      <c r="U304" s="48"/>
      <c r="V304" s="48"/>
      <c r="W304" s="48"/>
      <c r="X304" s="48"/>
      <c r="Y304" s="48"/>
      <c r="Z304" s="48"/>
      <c r="AA304" s="48"/>
      <c r="AB304" s="48"/>
      <c r="AC304" s="48"/>
      <c r="AD304" s="48"/>
      <c r="AE304" s="48"/>
      <c r="AF304" s="48"/>
      <c r="AG304" s="48"/>
      <c r="AH304" s="48"/>
      <c r="AI304" s="48"/>
      <c r="AJ304" s="48"/>
    </row>
    <row r="305" customFormat="false" ht="15" hidden="false" customHeight="false" outlineLevel="0" collapsed="false">
      <c r="A305" s="8"/>
      <c r="B305" s="42"/>
      <c r="C305" s="43"/>
      <c r="D305" s="44"/>
      <c r="E305" s="44"/>
      <c r="F305" s="45"/>
      <c r="G305" s="46"/>
      <c r="H305" s="47"/>
      <c r="I305" s="9"/>
      <c r="J305" s="9"/>
      <c r="K305" s="43"/>
      <c r="L305" s="9"/>
      <c r="M305" s="9"/>
      <c r="N305" s="43"/>
      <c r="O305" s="48"/>
      <c r="P305" s="48"/>
      <c r="Q305" s="48"/>
      <c r="R305" s="48"/>
      <c r="S305" s="48"/>
      <c r="T305" s="48"/>
      <c r="U305" s="48"/>
      <c r="V305" s="48"/>
      <c r="W305" s="48"/>
      <c r="X305" s="48"/>
      <c r="Y305" s="48"/>
      <c r="Z305" s="48"/>
      <c r="AA305" s="48"/>
      <c r="AB305" s="48"/>
      <c r="AC305" s="48"/>
      <c r="AD305" s="48"/>
      <c r="AE305" s="48"/>
      <c r="AF305" s="48"/>
      <c r="AG305" s="48"/>
      <c r="AH305" s="48"/>
      <c r="AI305" s="48"/>
      <c r="AJ305" s="48"/>
    </row>
    <row r="306" customFormat="false" ht="15" hidden="false" customHeight="false" outlineLevel="0" collapsed="false">
      <c r="A306" s="8"/>
      <c r="B306" s="42"/>
      <c r="C306" s="43"/>
      <c r="D306" s="44"/>
      <c r="E306" s="44"/>
      <c r="F306" s="45"/>
      <c r="G306" s="46"/>
      <c r="H306" s="47"/>
      <c r="I306" s="9"/>
      <c r="J306" s="9"/>
      <c r="K306" s="43"/>
      <c r="L306" s="9"/>
      <c r="M306" s="9"/>
      <c r="N306" s="43"/>
      <c r="O306" s="48"/>
      <c r="P306" s="48"/>
      <c r="Q306" s="48"/>
      <c r="R306" s="48"/>
      <c r="S306" s="48"/>
      <c r="T306" s="48"/>
      <c r="U306" s="48"/>
      <c r="V306" s="48"/>
      <c r="W306" s="48"/>
      <c r="X306" s="48"/>
      <c r="Y306" s="48"/>
      <c r="Z306" s="48"/>
      <c r="AA306" s="48"/>
      <c r="AB306" s="48"/>
      <c r="AC306" s="48"/>
      <c r="AD306" s="48"/>
      <c r="AE306" s="48"/>
      <c r="AF306" s="48"/>
      <c r="AG306" s="48"/>
      <c r="AH306" s="48"/>
      <c r="AI306" s="48"/>
      <c r="AJ306" s="48"/>
    </row>
    <row r="307" customFormat="false" ht="15" hidden="false" customHeight="false" outlineLevel="0" collapsed="false">
      <c r="A307" s="8"/>
      <c r="B307" s="42"/>
      <c r="C307" s="43"/>
      <c r="D307" s="44"/>
      <c r="E307" s="44"/>
      <c r="F307" s="45"/>
      <c r="G307" s="46"/>
      <c r="H307" s="47"/>
      <c r="I307" s="9"/>
      <c r="J307" s="9"/>
      <c r="K307" s="43"/>
      <c r="L307" s="9"/>
      <c r="M307" s="9"/>
      <c r="N307" s="43"/>
      <c r="O307" s="48"/>
      <c r="P307" s="48"/>
      <c r="Q307" s="48"/>
      <c r="R307" s="48"/>
      <c r="S307" s="48"/>
      <c r="T307" s="48"/>
      <c r="U307" s="48"/>
      <c r="V307" s="48"/>
      <c r="W307" s="48"/>
      <c r="X307" s="48"/>
      <c r="Y307" s="48"/>
      <c r="Z307" s="48"/>
      <c r="AA307" s="48"/>
      <c r="AB307" s="48"/>
      <c r="AC307" s="48"/>
      <c r="AD307" s="48"/>
      <c r="AE307" s="48"/>
      <c r="AF307" s="48"/>
      <c r="AG307" s="48"/>
      <c r="AH307" s="48"/>
      <c r="AI307" s="48"/>
      <c r="AJ307" s="48"/>
    </row>
    <row r="308" customFormat="false" ht="15" hidden="false" customHeight="false" outlineLevel="0" collapsed="false">
      <c r="A308" s="8"/>
      <c r="B308" s="42"/>
      <c r="C308" s="43"/>
      <c r="D308" s="44"/>
      <c r="E308" s="44"/>
      <c r="F308" s="45"/>
      <c r="G308" s="46"/>
      <c r="H308" s="47"/>
      <c r="I308" s="9"/>
      <c r="J308" s="9"/>
      <c r="K308" s="43"/>
      <c r="L308" s="9"/>
      <c r="M308" s="9"/>
      <c r="N308" s="43"/>
      <c r="O308" s="48"/>
      <c r="P308" s="48"/>
      <c r="Q308" s="48"/>
      <c r="R308" s="48"/>
      <c r="S308" s="48"/>
      <c r="T308" s="48"/>
      <c r="U308" s="48"/>
      <c r="V308" s="48"/>
      <c r="W308" s="48"/>
      <c r="X308" s="48"/>
      <c r="Y308" s="48"/>
      <c r="Z308" s="48"/>
      <c r="AA308" s="48"/>
      <c r="AB308" s="48"/>
      <c r="AC308" s="48"/>
      <c r="AD308" s="48"/>
      <c r="AE308" s="48"/>
      <c r="AF308" s="48"/>
      <c r="AG308" s="48"/>
      <c r="AH308" s="48"/>
      <c r="AI308" s="48"/>
      <c r="AJ308" s="48"/>
    </row>
    <row r="309" customFormat="false" ht="15" hidden="false" customHeight="false" outlineLevel="0" collapsed="false">
      <c r="A309" s="8"/>
      <c r="B309" s="42"/>
      <c r="C309" s="43"/>
      <c r="D309" s="44"/>
      <c r="E309" s="44"/>
      <c r="F309" s="45"/>
      <c r="G309" s="46"/>
      <c r="H309" s="47"/>
      <c r="I309" s="9"/>
      <c r="J309" s="9"/>
      <c r="K309" s="43"/>
      <c r="L309" s="9"/>
      <c r="M309" s="9"/>
      <c r="N309" s="43"/>
      <c r="O309" s="48"/>
      <c r="P309" s="48"/>
      <c r="Q309" s="48"/>
      <c r="R309" s="48"/>
      <c r="S309" s="48"/>
      <c r="T309" s="48"/>
      <c r="U309" s="48"/>
      <c r="V309" s="48"/>
      <c r="W309" s="48"/>
      <c r="X309" s="48"/>
      <c r="Y309" s="48"/>
      <c r="Z309" s="48"/>
      <c r="AA309" s="48"/>
      <c r="AB309" s="48"/>
      <c r="AC309" s="48"/>
      <c r="AD309" s="48"/>
      <c r="AE309" s="48"/>
      <c r="AF309" s="48"/>
      <c r="AG309" s="48"/>
      <c r="AH309" s="48"/>
      <c r="AI309" s="48"/>
      <c r="AJ309" s="48"/>
    </row>
    <row r="310" customFormat="false" ht="15" hidden="false" customHeight="false" outlineLevel="0" collapsed="false">
      <c r="A310" s="8"/>
      <c r="B310" s="42"/>
      <c r="C310" s="43"/>
      <c r="D310" s="44"/>
      <c r="E310" s="44"/>
      <c r="F310" s="45"/>
      <c r="G310" s="46"/>
      <c r="H310" s="47"/>
      <c r="I310" s="9"/>
      <c r="J310" s="9"/>
      <c r="K310" s="43"/>
      <c r="L310" s="9"/>
      <c r="M310" s="9"/>
      <c r="N310" s="43"/>
      <c r="O310" s="48"/>
      <c r="P310" s="48"/>
      <c r="Q310" s="48"/>
      <c r="R310" s="48"/>
      <c r="S310" s="48"/>
      <c r="T310" s="48"/>
      <c r="U310" s="48"/>
      <c r="V310" s="48"/>
      <c r="W310" s="48"/>
      <c r="X310" s="48"/>
      <c r="Y310" s="48"/>
      <c r="Z310" s="48"/>
      <c r="AA310" s="48"/>
      <c r="AB310" s="48"/>
      <c r="AC310" s="48"/>
      <c r="AD310" s="48"/>
      <c r="AE310" s="48"/>
      <c r="AF310" s="48"/>
      <c r="AG310" s="48"/>
      <c r="AH310" s="48"/>
      <c r="AI310" s="48"/>
      <c r="AJ310" s="48"/>
    </row>
    <row r="311" customFormat="false" ht="15" hidden="false" customHeight="false" outlineLevel="0" collapsed="false">
      <c r="A311" s="8"/>
      <c r="B311" s="42"/>
      <c r="C311" s="43"/>
      <c r="D311" s="44"/>
      <c r="E311" s="44"/>
      <c r="F311" s="45"/>
      <c r="G311" s="46"/>
      <c r="H311" s="47"/>
      <c r="I311" s="9"/>
      <c r="J311" s="9"/>
      <c r="K311" s="43"/>
      <c r="L311" s="9"/>
      <c r="M311" s="9"/>
      <c r="N311" s="43"/>
      <c r="O311" s="48"/>
      <c r="P311" s="48"/>
      <c r="Q311" s="48"/>
      <c r="R311" s="48"/>
      <c r="S311" s="48"/>
      <c r="T311" s="48"/>
      <c r="U311" s="48"/>
      <c r="V311" s="48"/>
      <c r="W311" s="48"/>
      <c r="X311" s="48"/>
      <c r="Y311" s="48"/>
      <c r="Z311" s="48"/>
      <c r="AA311" s="48"/>
      <c r="AB311" s="48"/>
      <c r="AC311" s="48"/>
      <c r="AD311" s="48"/>
      <c r="AE311" s="48"/>
      <c r="AF311" s="48"/>
      <c r="AG311" s="48"/>
      <c r="AH311" s="48"/>
      <c r="AI311" s="48"/>
      <c r="AJ311" s="48"/>
    </row>
    <row r="312" customFormat="false" ht="15" hidden="false" customHeight="false" outlineLevel="0" collapsed="false">
      <c r="A312" s="8"/>
      <c r="B312" s="42"/>
      <c r="C312" s="43"/>
      <c r="D312" s="44"/>
      <c r="E312" s="44"/>
      <c r="F312" s="45"/>
      <c r="G312" s="46"/>
      <c r="H312" s="47"/>
      <c r="I312" s="9"/>
      <c r="J312" s="9"/>
      <c r="K312" s="43"/>
      <c r="L312" s="9"/>
      <c r="M312" s="9"/>
      <c r="N312" s="43"/>
      <c r="O312" s="48"/>
      <c r="P312" s="48"/>
      <c r="Q312" s="48"/>
      <c r="R312" s="48"/>
      <c r="S312" s="48"/>
      <c r="T312" s="48"/>
      <c r="U312" s="48"/>
      <c r="V312" s="48"/>
      <c r="W312" s="48"/>
      <c r="X312" s="48"/>
      <c r="Y312" s="48"/>
      <c r="Z312" s="48"/>
      <c r="AA312" s="48"/>
      <c r="AB312" s="48"/>
      <c r="AC312" s="48"/>
      <c r="AD312" s="48"/>
      <c r="AE312" s="48"/>
      <c r="AF312" s="48"/>
      <c r="AG312" s="48"/>
      <c r="AH312" s="48"/>
      <c r="AI312" s="48"/>
      <c r="AJ312" s="48"/>
    </row>
    <row r="313" customFormat="false" ht="15" hidden="false" customHeight="false" outlineLevel="0" collapsed="false">
      <c r="A313" s="8"/>
      <c r="B313" s="42"/>
      <c r="C313" s="43"/>
      <c r="D313" s="44"/>
      <c r="E313" s="44"/>
      <c r="F313" s="45"/>
      <c r="G313" s="46"/>
      <c r="H313" s="47"/>
      <c r="I313" s="9"/>
      <c r="J313" s="9"/>
      <c r="K313" s="43"/>
      <c r="L313" s="9"/>
      <c r="M313" s="9"/>
      <c r="N313" s="43"/>
      <c r="O313" s="48"/>
      <c r="P313" s="48"/>
      <c r="Q313" s="48"/>
      <c r="R313" s="48"/>
      <c r="S313" s="48"/>
      <c r="T313" s="48"/>
      <c r="U313" s="48"/>
      <c r="V313" s="48"/>
      <c r="W313" s="48"/>
      <c r="X313" s="48"/>
      <c r="Y313" s="48"/>
      <c r="Z313" s="48"/>
      <c r="AA313" s="48"/>
      <c r="AB313" s="48"/>
      <c r="AC313" s="48"/>
      <c r="AD313" s="48"/>
      <c r="AE313" s="48"/>
      <c r="AF313" s="48"/>
      <c r="AG313" s="48"/>
      <c r="AH313" s="48"/>
      <c r="AI313" s="48"/>
      <c r="AJ313" s="48"/>
    </row>
    <row r="314" customFormat="false" ht="15" hidden="false" customHeight="false" outlineLevel="0" collapsed="false">
      <c r="A314" s="8"/>
      <c r="B314" s="42"/>
      <c r="C314" s="43"/>
      <c r="D314" s="44"/>
      <c r="E314" s="44"/>
      <c r="F314" s="45"/>
      <c r="G314" s="46"/>
      <c r="H314" s="47"/>
      <c r="I314" s="9"/>
      <c r="J314" s="9"/>
      <c r="K314" s="43"/>
      <c r="L314" s="9"/>
      <c r="M314" s="9"/>
      <c r="N314" s="43"/>
      <c r="O314" s="48"/>
      <c r="P314" s="48"/>
      <c r="Q314" s="48"/>
      <c r="R314" s="48"/>
      <c r="S314" s="48"/>
      <c r="T314" s="48"/>
      <c r="U314" s="48"/>
      <c r="V314" s="48"/>
      <c r="W314" s="48"/>
      <c r="X314" s="48"/>
      <c r="Y314" s="48"/>
      <c r="Z314" s="48"/>
      <c r="AA314" s="48"/>
      <c r="AB314" s="48"/>
      <c r="AC314" s="48"/>
      <c r="AD314" s="48"/>
      <c r="AE314" s="48"/>
      <c r="AF314" s="48"/>
      <c r="AG314" s="48"/>
      <c r="AH314" s="48"/>
      <c r="AI314" s="48"/>
      <c r="AJ314" s="48"/>
    </row>
    <row r="315" customFormat="false" ht="15" hidden="false" customHeight="false" outlineLevel="0" collapsed="false">
      <c r="A315" s="8"/>
      <c r="B315" s="42"/>
      <c r="C315" s="43"/>
      <c r="D315" s="44"/>
      <c r="E315" s="44"/>
      <c r="F315" s="45"/>
      <c r="G315" s="46"/>
      <c r="H315" s="47"/>
      <c r="I315" s="9"/>
      <c r="J315" s="9"/>
      <c r="K315" s="43"/>
      <c r="L315" s="9"/>
      <c r="M315" s="9"/>
      <c r="N315" s="43"/>
      <c r="O315" s="48"/>
      <c r="P315" s="48"/>
      <c r="Q315" s="48"/>
      <c r="R315" s="48"/>
      <c r="S315" s="48"/>
      <c r="T315" s="48"/>
      <c r="U315" s="48"/>
      <c r="V315" s="48"/>
      <c r="W315" s="48"/>
      <c r="X315" s="48"/>
      <c r="Y315" s="48"/>
      <c r="Z315" s="48"/>
      <c r="AA315" s="48"/>
      <c r="AB315" s="48"/>
      <c r="AC315" s="48"/>
      <c r="AD315" s="48"/>
      <c r="AE315" s="48"/>
      <c r="AF315" s="48"/>
      <c r="AG315" s="48"/>
      <c r="AH315" s="48"/>
      <c r="AI315" s="48"/>
      <c r="AJ315" s="48"/>
    </row>
    <row r="316" customFormat="false" ht="15" hidden="false" customHeight="false" outlineLevel="0" collapsed="false">
      <c r="A316" s="8"/>
      <c r="B316" s="42"/>
      <c r="C316" s="43"/>
      <c r="D316" s="44"/>
      <c r="E316" s="44"/>
      <c r="F316" s="45"/>
      <c r="G316" s="46"/>
      <c r="H316" s="47"/>
      <c r="I316" s="9"/>
      <c r="J316" s="9"/>
      <c r="K316" s="43"/>
      <c r="L316" s="9"/>
      <c r="M316" s="9"/>
      <c r="N316" s="43"/>
      <c r="O316" s="48"/>
      <c r="P316" s="48"/>
      <c r="Q316" s="48"/>
      <c r="R316" s="48"/>
      <c r="S316" s="48"/>
      <c r="T316" s="48"/>
      <c r="U316" s="48"/>
      <c r="V316" s="48"/>
      <c r="W316" s="48"/>
      <c r="X316" s="48"/>
      <c r="Y316" s="48"/>
      <c r="Z316" s="48"/>
      <c r="AA316" s="48"/>
      <c r="AB316" s="48"/>
      <c r="AC316" s="48"/>
      <c r="AD316" s="48"/>
      <c r="AE316" s="48"/>
      <c r="AF316" s="48"/>
      <c r="AG316" s="48"/>
      <c r="AH316" s="48"/>
      <c r="AI316" s="48"/>
      <c r="AJ316" s="48"/>
    </row>
    <row r="317" customFormat="false" ht="15" hidden="false" customHeight="false" outlineLevel="0" collapsed="false">
      <c r="A317" s="8"/>
      <c r="B317" s="42"/>
      <c r="C317" s="43"/>
      <c r="D317" s="44"/>
      <c r="E317" s="44"/>
      <c r="F317" s="45"/>
      <c r="G317" s="46"/>
      <c r="H317" s="47"/>
      <c r="I317" s="9"/>
      <c r="J317" s="9"/>
      <c r="K317" s="43"/>
      <c r="L317" s="9"/>
      <c r="M317" s="9"/>
      <c r="N317" s="43"/>
      <c r="O317" s="48"/>
      <c r="P317" s="48"/>
      <c r="Q317" s="48"/>
      <c r="R317" s="48"/>
      <c r="S317" s="48"/>
      <c r="T317" s="48"/>
      <c r="U317" s="48"/>
      <c r="V317" s="48"/>
      <c r="W317" s="48"/>
      <c r="X317" s="48"/>
      <c r="Y317" s="48"/>
      <c r="Z317" s="48"/>
      <c r="AA317" s="48"/>
      <c r="AB317" s="48"/>
      <c r="AC317" s="48"/>
      <c r="AD317" s="48"/>
      <c r="AE317" s="48"/>
      <c r="AF317" s="48"/>
      <c r="AG317" s="48"/>
      <c r="AH317" s="48"/>
      <c r="AI317" s="48"/>
      <c r="AJ317" s="48"/>
    </row>
    <row r="318" customFormat="false" ht="15" hidden="false" customHeight="false" outlineLevel="0" collapsed="false">
      <c r="A318" s="8"/>
      <c r="B318" s="42"/>
      <c r="C318" s="43"/>
      <c r="D318" s="44"/>
      <c r="E318" s="44"/>
      <c r="F318" s="45"/>
      <c r="G318" s="46"/>
      <c r="H318" s="47"/>
      <c r="I318" s="9"/>
      <c r="J318" s="9"/>
      <c r="K318" s="43"/>
      <c r="L318" s="9"/>
      <c r="M318" s="9"/>
      <c r="N318" s="43"/>
      <c r="O318" s="48"/>
      <c r="P318" s="48"/>
      <c r="Q318" s="48"/>
      <c r="R318" s="48"/>
      <c r="S318" s="48"/>
      <c r="T318" s="48"/>
      <c r="U318" s="48"/>
      <c r="V318" s="48"/>
      <c r="W318" s="48"/>
      <c r="X318" s="48"/>
      <c r="Y318" s="48"/>
      <c r="Z318" s="48"/>
      <c r="AA318" s="48"/>
      <c r="AB318" s="48"/>
      <c r="AC318" s="48"/>
      <c r="AD318" s="48"/>
      <c r="AE318" s="48"/>
      <c r="AF318" s="48"/>
      <c r="AG318" s="48"/>
      <c r="AH318" s="48"/>
      <c r="AI318" s="48"/>
      <c r="AJ318" s="48"/>
    </row>
    <row r="319" customFormat="false" ht="15" hidden="false" customHeight="false" outlineLevel="0" collapsed="false">
      <c r="A319" s="8"/>
      <c r="B319" s="42"/>
      <c r="C319" s="43"/>
      <c r="D319" s="44"/>
      <c r="E319" s="44"/>
      <c r="F319" s="45"/>
      <c r="G319" s="46"/>
      <c r="H319" s="47"/>
      <c r="I319" s="9"/>
      <c r="J319" s="9"/>
      <c r="K319" s="43"/>
      <c r="L319" s="9"/>
      <c r="M319" s="9"/>
      <c r="N319" s="43"/>
      <c r="O319" s="48"/>
      <c r="P319" s="48"/>
      <c r="Q319" s="48"/>
      <c r="R319" s="48"/>
      <c r="S319" s="48"/>
      <c r="T319" s="48"/>
      <c r="U319" s="48"/>
      <c r="V319" s="48"/>
      <c r="W319" s="48"/>
      <c r="X319" s="48"/>
      <c r="Y319" s="48"/>
      <c r="Z319" s="48"/>
      <c r="AA319" s="48"/>
      <c r="AB319" s="48"/>
      <c r="AC319" s="48"/>
      <c r="AD319" s="48"/>
      <c r="AE319" s="48"/>
      <c r="AF319" s="48"/>
      <c r="AG319" s="48"/>
      <c r="AH319" s="48"/>
      <c r="AI319" s="48"/>
      <c r="AJ319" s="48"/>
    </row>
    <row r="320" customFormat="false" ht="15" hidden="false" customHeight="false" outlineLevel="0" collapsed="false">
      <c r="A320" s="8"/>
      <c r="B320" s="42"/>
      <c r="C320" s="43"/>
      <c r="D320" s="44"/>
      <c r="E320" s="44"/>
      <c r="F320" s="45"/>
      <c r="G320" s="46"/>
      <c r="H320" s="47"/>
      <c r="I320" s="9"/>
      <c r="J320" s="9"/>
      <c r="K320" s="43"/>
      <c r="L320" s="9"/>
      <c r="M320" s="9"/>
      <c r="N320" s="43"/>
      <c r="O320" s="48"/>
      <c r="P320" s="48"/>
      <c r="Q320" s="48"/>
      <c r="R320" s="48"/>
      <c r="S320" s="48"/>
      <c r="T320" s="48"/>
      <c r="U320" s="48"/>
      <c r="V320" s="48"/>
      <c r="W320" s="48"/>
      <c r="X320" s="48"/>
      <c r="Y320" s="48"/>
      <c r="Z320" s="48"/>
      <c r="AA320" s="48"/>
      <c r="AB320" s="48"/>
      <c r="AC320" s="48"/>
      <c r="AD320" s="48"/>
      <c r="AE320" s="48"/>
      <c r="AF320" s="48"/>
      <c r="AG320" s="48"/>
      <c r="AH320" s="48"/>
      <c r="AI320" s="48"/>
      <c r="AJ320" s="48"/>
    </row>
    <row r="321" customFormat="false" ht="15" hidden="false" customHeight="false" outlineLevel="0" collapsed="false">
      <c r="A321" s="8"/>
      <c r="B321" s="42"/>
      <c r="C321" s="43"/>
      <c r="D321" s="44"/>
      <c r="E321" s="44"/>
      <c r="F321" s="45"/>
      <c r="G321" s="46"/>
      <c r="H321" s="47"/>
      <c r="I321" s="9"/>
      <c r="J321" s="9"/>
      <c r="K321" s="43"/>
      <c r="L321" s="9"/>
      <c r="M321" s="9"/>
      <c r="N321" s="43"/>
      <c r="O321" s="48"/>
      <c r="P321" s="48"/>
      <c r="Q321" s="48"/>
      <c r="R321" s="48"/>
      <c r="S321" s="48"/>
      <c r="T321" s="48"/>
      <c r="U321" s="48"/>
      <c r="V321" s="48"/>
      <c r="W321" s="48"/>
      <c r="X321" s="48"/>
      <c r="Y321" s="48"/>
      <c r="Z321" s="48"/>
      <c r="AA321" s="48"/>
      <c r="AB321" s="48"/>
      <c r="AC321" s="48"/>
      <c r="AD321" s="48"/>
      <c r="AE321" s="48"/>
      <c r="AF321" s="48"/>
      <c r="AG321" s="48"/>
      <c r="AH321" s="48"/>
      <c r="AI321" s="48"/>
      <c r="AJ321" s="48"/>
    </row>
    <row r="322" customFormat="false" ht="15" hidden="false" customHeight="false" outlineLevel="0" collapsed="false">
      <c r="A322" s="8"/>
      <c r="B322" s="42"/>
      <c r="C322" s="43"/>
      <c r="D322" s="44"/>
      <c r="E322" s="44"/>
      <c r="F322" s="45"/>
      <c r="G322" s="46"/>
      <c r="H322" s="47"/>
      <c r="I322" s="9"/>
      <c r="J322" s="9"/>
      <c r="K322" s="43"/>
      <c r="L322" s="9"/>
      <c r="M322" s="9"/>
      <c r="N322" s="43"/>
      <c r="O322" s="48"/>
      <c r="P322" s="48"/>
      <c r="Q322" s="48"/>
      <c r="R322" s="48"/>
      <c r="S322" s="48"/>
      <c r="T322" s="48"/>
      <c r="U322" s="48"/>
      <c r="V322" s="48"/>
      <c r="W322" s="48"/>
      <c r="X322" s="48"/>
      <c r="Y322" s="48"/>
      <c r="Z322" s="48"/>
      <c r="AA322" s="48"/>
      <c r="AB322" s="48"/>
      <c r="AC322" s="48"/>
      <c r="AD322" s="48"/>
      <c r="AE322" s="48"/>
      <c r="AF322" s="48"/>
      <c r="AG322" s="48"/>
      <c r="AH322" s="48"/>
      <c r="AI322" s="48"/>
      <c r="AJ322" s="48"/>
    </row>
    <row r="323" customFormat="false" ht="15" hidden="false" customHeight="false" outlineLevel="0" collapsed="false">
      <c r="A323" s="8"/>
      <c r="B323" s="42"/>
      <c r="C323" s="43"/>
      <c r="D323" s="44"/>
      <c r="E323" s="44"/>
      <c r="F323" s="45"/>
      <c r="G323" s="46"/>
      <c r="H323" s="47"/>
      <c r="I323" s="9"/>
      <c r="J323" s="9"/>
      <c r="K323" s="43"/>
      <c r="L323" s="9"/>
      <c r="M323" s="9"/>
      <c r="N323" s="43"/>
      <c r="O323" s="48"/>
      <c r="P323" s="48"/>
      <c r="Q323" s="48"/>
      <c r="R323" s="48"/>
      <c r="S323" s="48"/>
      <c r="T323" s="48"/>
      <c r="U323" s="48"/>
      <c r="V323" s="48"/>
      <c r="W323" s="48"/>
      <c r="X323" s="48"/>
      <c r="Y323" s="48"/>
      <c r="Z323" s="48"/>
      <c r="AA323" s="48"/>
      <c r="AB323" s="48"/>
      <c r="AC323" s="48"/>
      <c r="AD323" s="48"/>
      <c r="AE323" s="48"/>
      <c r="AF323" s="48"/>
      <c r="AG323" s="48"/>
      <c r="AH323" s="48"/>
      <c r="AI323" s="48"/>
      <c r="AJ323" s="48"/>
    </row>
    <row r="324" customFormat="false" ht="15" hidden="false" customHeight="false" outlineLevel="0" collapsed="false">
      <c r="A324" s="8"/>
      <c r="B324" s="42"/>
      <c r="C324" s="43"/>
      <c r="D324" s="44"/>
      <c r="E324" s="44"/>
      <c r="F324" s="45"/>
      <c r="G324" s="46"/>
      <c r="H324" s="47"/>
      <c r="I324" s="9"/>
      <c r="J324" s="9"/>
      <c r="K324" s="43"/>
      <c r="L324" s="9"/>
      <c r="M324" s="9"/>
      <c r="N324" s="43"/>
      <c r="O324" s="48"/>
      <c r="P324" s="48"/>
      <c r="Q324" s="48"/>
      <c r="R324" s="48"/>
      <c r="S324" s="48"/>
      <c r="T324" s="48"/>
      <c r="U324" s="48"/>
      <c r="V324" s="48"/>
      <c r="W324" s="48"/>
      <c r="X324" s="48"/>
      <c r="Y324" s="48"/>
      <c r="Z324" s="48"/>
      <c r="AA324" s="48"/>
      <c r="AB324" s="48"/>
      <c r="AC324" s="48"/>
      <c r="AD324" s="48"/>
      <c r="AE324" s="48"/>
      <c r="AF324" s="48"/>
      <c r="AG324" s="48"/>
      <c r="AH324" s="48"/>
      <c r="AI324" s="48"/>
      <c r="AJ324" s="48"/>
    </row>
    <row r="325" customFormat="false" ht="15" hidden="false" customHeight="false" outlineLevel="0" collapsed="false">
      <c r="A325" s="8"/>
      <c r="B325" s="42"/>
      <c r="C325" s="43"/>
      <c r="D325" s="44"/>
      <c r="E325" s="44"/>
      <c r="F325" s="45"/>
      <c r="G325" s="46"/>
      <c r="H325" s="47"/>
      <c r="I325" s="9"/>
      <c r="J325" s="9"/>
      <c r="K325" s="43"/>
      <c r="L325" s="9"/>
      <c r="M325" s="9"/>
      <c r="N325" s="43"/>
      <c r="O325" s="48"/>
      <c r="P325" s="48"/>
      <c r="Q325" s="48"/>
      <c r="R325" s="48"/>
      <c r="S325" s="48"/>
      <c r="T325" s="48"/>
      <c r="U325" s="48"/>
      <c r="V325" s="48"/>
      <c r="W325" s="48"/>
      <c r="X325" s="48"/>
      <c r="Y325" s="48"/>
      <c r="Z325" s="48"/>
      <c r="AA325" s="48"/>
      <c r="AB325" s="48"/>
      <c r="AC325" s="48"/>
      <c r="AD325" s="48"/>
      <c r="AE325" s="48"/>
      <c r="AF325" s="48"/>
      <c r="AG325" s="48"/>
      <c r="AH325" s="48"/>
      <c r="AI325" s="48"/>
      <c r="AJ325" s="48"/>
    </row>
    <row r="326" customFormat="false" ht="15" hidden="false" customHeight="false" outlineLevel="0" collapsed="false">
      <c r="A326" s="8"/>
      <c r="B326" s="42"/>
      <c r="C326" s="43"/>
      <c r="D326" s="44"/>
      <c r="E326" s="44"/>
      <c r="F326" s="45"/>
      <c r="G326" s="46"/>
      <c r="H326" s="47"/>
      <c r="I326" s="9"/>
      <c r="J326" s="9"/>
      <c r="K326" s="43"/>
      <c r="L326" s="9"/>
      <c r="M326" s="9"/>
      <c r="N326" s="43"/>
      <c r="O326" s="48"/>
      <c r="P326" s="48"/>
      <c r="Q326" s="48"/>
      <c r="R326" s="48"/>
      <c r="S326" s="48"/>
      <c r="T326" s="48"/>
      <c r="U326" s="48"/>
      <c r="V326" s="48"/>
      <c r="W326" s="48"/>
      <c r="X326" s="48"/>
      <c r="Y326" s="48"/>
      <c r="Z326" s="48"/>
      <c r="AA326" s="48"/>
      <c r="AB326" s="48"/>
      <c r="AC326" s="48"/>
      <c r="AD326" s="48"/>
      <c r="AE326" s="48"/>
      <c r="AF326" s="48"/>
      <c r="AG326" s="48"/>
      <c r="AH326" s="48"/>
      <c r="AI326" s="48"/>
      <c r="AJ326" s="48"/>
    </row>
    <row r="327" customFormat="false" ht="15" hidden="false" customHeight="false" outlineLevel="0" collapsed="false">
      <c r="A327" s="8"/>
      <c r="B327" s="42"/>
      <c r="C327" s="43"/>
      <c r="D327" s="44"/>
      <c r="E327" s="44"/>
      <c r="F327" s="45"/>
      <c r="G327" s="46"/>
      <c r="H327" s="47"/>
      <c r="I327" s="9"/>
      <c r="J327" s="9"/>
      <c r="K327" s="43"/>
      <c r="L327" s="9"/>
      <c r="M327" s="9"/>
      <c r="N327" s="43"/>
      <c r="O327" s="48"/>
      <c r="P327" s="48"/>
      <c r="Q327" s="48"/>
      <c r="R327" s="48"/>
      <c r="S327" s="48"/>
      <c r="T327" s="48"/>
      <c r="U327" s="48"/>
      <c r="V327" s="48"/>
      <c r="W327" s="48"/>
      <c r="X327" s="48"/>
      <c r="Y327" s="48"/>
      <c r="Z327" s="48"/>
      <c r="AA327" s="48"/>
      <c r="AB327" s="48"/>
      <c r="AC327" s="48"/>
      <c r="AD327" s="48"/>
      <c r="AE327" s="48"/>
      <c r="AF327" s="48"/>
      <c r="AG327" s="48"/>
      <c r="AH327" s="48"/>
      <c r="AI327" s="48"/>
      <c r="AJ327" s="48"/>
    </row>
    <row r="328" customFormat="false" ht="15" hidden="false" customHeight="false" outlineLevel="0" collapsed="false">
      <c r="A328" s="8"/>
      <c r="B328" s="42"/>
      <c r="C328" s="43"/>
      <c r="D328" s="44"/>
      <c r="E328" s="44"/>
      <c r="F328" s="45"/>
      <c r="G328" s="46"/>
      <c r="H328" s="47"/>
      <c r="I328" s="9"/>
      <c r="J328" s="9"/>
      <c r="K328" s="43"/>
      <c r="L328" s="9"/>
      <c r="M328" s="9"/>
      <c r="N328" s="43"/>
      <c r="O328" s="48"/>
      <c r="P328" s="48"/>
      <c r="Q328" s="48"/>
      <c r="R328" s="48"/>
      <c r="S328" s="48"/>
      <c r="T328" s="48"/>
      <c r="U328" s="48"/>
      <c r="V328" s="48"/>
      <c r="W328" s="48"/>
      <c r="X328" s="48"/>
      <c r="Y328" s="48"/>
      <c r="Z328" s="48"/>
      <c r="AA328" s="48"/>
      <c r="AB328" s="48"/>
      <c r="AC328" s="48"/>
      <c r="AD328" s="48"/>
      <c r="AE328" s="48"/>
      <c r="AF328" s="48"/>
      <c r="AG328" s="48"/>
      <c r="AH328" s="48"/>
      <c r="AI328" s="48"/>
      <c r="AJ328" s="48"/>
    </row>
    <row r="329" customFormat="false" ht="15" hidden="false" customHeight="false" outlineLevel="0" collapsed="false">
      <c r="A329" s="8"/>
      <c r="B329" s="42"/>
      <c r="C329" s="43"/>
      <c r="D329" s="44"/>
      <c r="E329" s="44"/>
      <c r="F329" s="45"/>
      <c r="G329" s="46"/>
      <c r="H329" s="47"/>
      <c r="I329" s="9"/>
      <c r="J329" s="9"/>
      <c r="K329" s="43"/>
      <c r="L329" s="9"/>
      <c r="M329" s="9"/>
      <c r="N329" s="43"/>
      <c r="O329" s="48"/>
      <c r="P329" s="48"/>
      <c r="Q329" s="48"/>
      <c r="R329" s="48"/>
      <c r="S329" s="48"/>
      <c r="T329" s="48"/>
      <c r="U329" s="48"/>
      <c r="V329" s="48"/>
      <c r="W329" s="48"/>
      <c r="X329" s="48"/>
      <c r="Y329" s="48"/>
      <c r="Z329" s="48"/>
      <c r="AA329" s="48"/>
      <c r="AB329" s="48"/>
      <c r="AC329" s="48"/>
      <c r="AD329" s="48"/>
      <c r="AE329" s="48"/>
      <c r="AF329" s="48"/>
      <c r="AG329" s="48"/>
      <c r="AH329" s="48"/>
      <c r="AI329" s="48"/>
      <c r="AJ329" s="48"/>
    </row>
    <row r="330" customFormat="false" ht="15" hidden="false" customHeight="false" outlineLevel="0" collapsed="false">
      <c r="A330" s="8"/>
      <c r="B330" s="42"/>
      <c r="C330" s="43"/>
      <c r="D330" s="44"/>
      <c r="E330" s="44"/>
      <c r="F330" s="45"/>
      <c r="G330" s="46"/>
      <c r="H330" s="47"/>
      <c r="I330" s="9"/>
      <c r="J330" s="9"/>
      <c r="K330" s="43"/>
      <c r="L330" s="9"/>
      <c r="M330" s="9"/>
      <c r="N330" s="43"/>
      <c r="O330" s="48"/>
      <c r="P330" s="48"/>
      <c r="Q330" s="48"/>
      <c r="R330" s="48"/>
      <c r="S330" s="48"/>
      <c r="T330" s="48"/>
      <c r="U330" s="48"/>
      <c r="V330" s="48"/>
      <c r="W330" s="48"/>
      <c r="X330" s="48"/>
      <c r="Y330" s="48"/>
      <c r="Z330" s="48"/>
      <c r="AA330" s="48"/>
      <c r="AB330" s="48"/>
      <c r="AC330" s="48"/>
      <c r="AD330" s="48"/>
      <c r="AE330" s="48"/>
      <c r="AF330" s="48"/>
      <c r="AG330" s="48"/>
      <c r="AH330" s="48"/>
      <c r="AI330" s="48"/>
      <c r="AJ330" s="48"/>
    </row>
    <row r="331" customFormat="false" ht="15" hidden="false" customHeight="false" outlineLevel="0" collapsed="false">
      <c r="A331" s="8"/>
      <c r="B331" s="42"/>
      <c r="C331" s="43"/>
      <c r="D331" s="44"/>
      <c r="E331" s="44"/>
      <c r="F331" s="45"/>
      <c r="G331" s="46"/>
      <c r="H331" s="47"/>
      <c r="I331" s="9"/>
      <c r="J331" s="9"/>
      <c r="K331" s="43"/>
      <c r="L331" s="9"/>
      <c r="M331" s="9"/>
      <c r="N331" s="43"/>
      <c r="O331" s="48"/>
      <c r="P331" s="48"/>
      <c r="Q331" s="48"/>
      <c r="R331" s="48"/>
      <c r="S331" s="48"/>
      <c r="T331" s="48"/>
      <c r="U331" s="48"/>
      <c r="V331" s="48"/>
      <c r="W331" s="48"/>
      <c r="X331" s="48"/>
      <c r="Y331" s="48"/>
      <c r="Z331" s="48"/>
      <c r="AA331" s="48"/>
      <c r="AB331" s="48"/>
      <c r="AC331" s="48"/>
      <c r="AD331" s="48"/>
      <c r="AE331" s="48"/>
      <c r="AF331" s="48"/>
      <c r="AG331" s="48"/>
      <c r="AH331" s="48"/>
      <c r="AI331" s="48"/>
      <c r="AJ331" s="48"/>
    </row>
    <row r="332" customFormat="false" ht="15" hidden="false" customHeight="false" outlineLevel="0" collapsed="false">
      <c r="A332" s="8"/>
      <c r="B332" s="42"/>
      <c r="C332" s="43"/>
      <c r="D332" s="44"/>
      <c r="E332" s="44"/>
      <c r="F332" s="45"/>
      <c r="G332" s="46"/>
      <c r="H332" s="47"/>
      <c r="I332" s="9"/>
      <c r="J332" s="9"/>
      <c r="K332" s="43"/>
      <c r="L332" s="9"/>
      <c r="M332" s="9"/>
      <c r="N332" s="43"/>
      <c r="O332" s="48"/>
      <c r="P332" s="48"/>
      <c r="Q332" s="48"/>
      <c r="R332" s="48"/>
      <c r="S332" s="48"/>
      <c r="T332" s="48"/>
      <c r="U332" s="48"/>
      <c r="V332" s="48"/>
      <c r="W332" s="48"/>
      <c r="X332" s="48"/>
      <c r="Y332" s="48"/>
      <c r="Z332" s="48"/>
      <c r="AA332" s="48"/>
      <c r="AB332" s="48"/>
      <c r="AC332" s="48"/>
      <c r="AD332" s="48"/>
      <c r="AE332" s="48"/>
      <c r="AF332" s="48"/>
      <c r="AG332" s="48"/>
      <c r="AH332" s="48"/>
      <c r="AI332" s="48"/>
      <c r="AJ332" s="48"/>
    </row>
    <row r="333" customFormat="false" ht="15" hidden="false" customHeight="false" outlineLevel="0" collapsed="false">
      <c r="A333" s="8"/>
      <c r="B333" s="42"/>
      <c r="C333" s="43"/>
      <c r="D333" s="44"/>
      <c r="E333" s="44"/>
      <c r="F333" s="45"/>
      <c r="G333" s="46"/>
      <c r="H333" s="47"/>
      <c r="I333" s="9"/>
      <c r="J333" s="9"/>
      <c r="K333" s="43"/>
      <c r="L333" s="9"/>
      <c r="M333" s="9"/>
      <c r="N333" s="43"/>
      <c r="O333" s="48"/>
      <c r="P333" s="48"/>
      <c r="Q333" s="48"/>
      <c r="R333" s="48"/>
      <c r="S333" s="48"/>
      <c r="T333" s="48"/>
      <c r="U333" s="48"/>
      <c r="V333" s="48"/>
      <c r="W333" s="48"/>
      <c r="X333" s="48"/>
      <c r="Y333" s="48"/>
      <c r="Z333" s="48"/>
      <c r="AA333" s="48"/>
      <c r="AB333" s="48"/>
      <c r="AC333" s="48"/>
      <c r="AD333" s="48"/>
      <c r="AE333" s="48"/>
      <c r="AF333" s="48"/>
      <c r="AG333" s="48"/>
      <c r="AH333" s="48"/>
      <c r="AI333" s="48"/>
      <c r="AJ333" s="48"/>
    </row>
    <row r="334" customFormat="false" ht="15" hidden="false" customHeight="false" outlineLevel="0" collapsed="false">
      <c r="A334" s="8"/>
      <c r="B334" s="42"/>
      <c r="C334" s="43"/>
      <c r="D334" s="44"/>
      <c r="E334" s="44"/>
      <c r="F334" s="45"/>
      <c r="G334" s="46"/>
      <c r="H334" s="47"/>
      <c r="I334" s="9"/>
      <c r="J334" s="9"/>
      <c r="K334" s="43"/>
      <c r="L334" s="9"/>
      <c r="M334" s="9"/>
      <c r="N334" s="43"/>
      <c r="O334" s="48"/>
      <c r="P334" s="48"/>
      <c r="Q334" s="48"/>
      <c r="R334" s="48"/>
      <c r="S334" s="48"/>
      <c r="T334" s="48"/>
      <c r="U334" s="48"/>
      <c r="V334" s="48"/>
      <c r="W334" s="48"/>
      <c r="X334" s="48"/>
      <c r="Y334" s="48"/>
      <c r="Z334" s="48"/>
      <c r="AA334" s="48"/>
      <c r="AB334" s="48"/>
      <c r="AC334" s="48"/>
      <c r="AD334" s="48"/>
      <c r="AE334" s="48"/>
      <c r="AF334" s="48"/>
      <c r="AG334" s="48"/>
      <c r="AH334" s="48"/>
      <c r="AI334" s="48"/>
      <c r="AJ334" s="48"/>
    </row>
    <row r="335" customFormat="false" ht="15" hidden="false" customHeight="false" outlineLevel="0" collapsed="false">
      <c r="A335" s="8"/>
      <c r="B335" s="42"/>
      <c r="C335" s="43"/>
      <c r="D335" s="44"/>
      <c r="E335" s="44"/>
      <c r="F335" s="45"/>
      <c r="G335" s="46"/>
      <c r="H335" s="47"/>
      <c r="I335" s="9"/>
      <c r="J335" s="9"/>
      <c r="K335" s="43"/>
      <c r="L335" s="9"/>
      <c r="M335" s="9"/>
      <c r="N335" s="43"/>
      <c r="O335" s="48"/>
      <c r="P335" s="48"/>
      <c r="Q335" s="48"/>
      <c r="R335" s="48"/>
      <c r="S335" s="48"/>
      <c r="T335" s="48"/>
      <c r="U335" s="48"/>
      <c r="V335" s="48"/>
      <c r="W335" s="48"/>
      <c r="X335" s="48"/>
      <c r="Y335" s="48"/>
      <c r="Z335" s="48"/>
      <c r="AA335" s="48"/>
      <c r="AB335" s="48"/>
      <c r="AC335" s="48"/>
      <c r="AD335" s="48"/>
      <c r="AE335" s="48"/>
      <c r="AF335" s="48"/>
      <c r="AG335" s="48"/>
      <c r="AH335" s="48"/>
      <c r="AI335" s="48"/>
      <c r="AJ335" s="48"/>
    </row>
    <row r="336" customFormat="false" ht="15" hidden="false" customHeight="false" outlineLevel="0" collapsed="false">
      <c r="A336" s="8"/>
      <c r="B336" s="42"/>
      <c r="C336" s="43"/>
      <c r="D336" s="44"/>
      <c r="E336" s="44"/>
      <c r="F336" s="45"/>
      <c r="G336" s="46"/>
      <c r="H336" s="47"/>
      <c r="I336" s="9"/>
      <c r="J336" s="9"/>
      <c r="K336" s="43"/>
      <c r="L336" s="9"/>
      <c r="M336" s="9"/>
      <c r="N336" s="43"/>
      <c r="O336" s="48"/>
      <c r="P336" s="48"/>
      <c r="Q336" s="48"/>
      <c r="R336" s="48"/>
      <c r="S336" s="48"/>
      <c r="T336" s="48"/>
      <c r="U336" s="48"/>
      <c r="V336" s="48"/>
      <c r="W336" s="48"/>
      <c r="X336" s="48"/>
      <c r="Y336" s="48"/>
      <c r="Z336" s="48"/>
      <c r="AA336" s="48"/>
      <c r="AB336" s="48"/>
      <c r="AC336" s="48"/>
      <c r="AD336" s="48"/>
      <c r="AE336" s="48"/>
      <c r="AF336" s="48"/>
      <c r="AG336" s="48"/>
      <c r="AH336" s="48"/>
      <c r="AI336" s="48"/>
      <c r="AJ336" s="48"/>
    </row>
    <row r="337" customFormat="false" ht="15" hidden="false" customHeight="false" outlineLevel="0" collapsed="false">
      <c r="A337" s="8"/>
      <c r="B337" s="42"/>
      <c r="C337" s="43"/>
      <c r="D337" s="44"/>
      <c r="E337" s="44"/>
      <c r="F337" s="45"/>
      <c r="G337" s="46"/>
      <c r="H337" s="47"/>
      <c r="I337" s="9"/>
      <c r="J337" s="9"/>
      <c r="K337" s="43"/>
      <c r="L337" s="9"/>
      <c r="M337" s="9"/>
      <c r="N337" s="43"/>
      <c r="O337" s="48"/>
      <c r="P337" s="48"/>
      <c r="Q337" s="48"/>
      <c r="R337" s="48"/>
      <c r="S337" s="48"/>
      <c r="T337" s="48"/>
      <c r="U337" s="48"/>
      <c r="V337" s="48"/>
      <c r="W337" s="48"/>
      <c r="X337" s="48"/>
      <c r="Y337" s="48"/>
      <c r="Z337" s="48"/>
      <c r="AA337" s="48"/>
      <c r="AB337" s="48"/>
      <c r="AC337" s="48"/>
      <c r="AD337" s="48"/>
      <c r="AE337" s="48"/>
      <c r="AF337" s="48"/>
      <c r="AG337" s="48"/>
      <c r="AH337" s="48"/>
      <c r="AI337" s="48"/>
      <c r="AJ337" s="48"/>
    </row>
    <row r="338" customFormat="false" ht="15" hidden="false" customHeight="false" outlineLevel="0" collapsed="false">
      <c r="A338" s="8"/>
      <c r="B338" s="42"/>
      <c r="C338" s="43"/>
      <c r="D338" s="44"/>
      <c r="E338" s="44"/>
      <c r="F338" s="45"/>
      <c r="G338" s="46"/>
      <c r="H338" s="47"/>
      <c r="I338" s="9"/>
      <c r="J338" s="9"/>
      <c r="K338" s="43"/>
      <c r="L338" s="9"/>
      <c r="M338" s="9"/>
      <c r="N338" s="43"/>
      <c r="O338" s="48"/>
      <c r="P338" s="48"/>
      <c r="Q338" s="48"/>
      <c r="R338" s="48"/>
      <c r="S338" s="48"/>
      <c r="T338" s="48"/>
      <c r="U338" s="48"/>
      <c r="V338" s="48"/>
      <c r="W338" s="48"/>
      <c r="X338" s="48"/>
      <c r="Y338" s="48"/>
      <c r="Z338" s="48"/>
      <c r="AA338" s="48"/>
      <c r="AB338" s="48"/>
      <c r="AC338" s="48"/>
      <c r="AD338" s="48"/>
      <c r="AE338" s="48"/>
      <c r="AF338" s="48"/>
      <c r="AG338" s="48"/>
      <c r="AH338" s="48"/>
      <c r="AI338" s="48"/>
      <c r="AJ338" s="48"/>
    </row>
    <row r="339" customFormat="false" ht="15" hidden="false" customHeight="false" outlineLevel="0" collapsed="false">
      <c r="A339" s="8"/>
      <c r="B339" s="42"/>
      <c r="C339" s="43"/>
      <c r="D339" s="44"/>
      <c r="E339" s="44"/>
      <c r="F339" s="45"/>
      <c r="G339" s="46"/>
      <c r="H339" s="47"/>
      <c r="I339" s="9"/>
      <c r="J339" s="9"/>
      <c r="K339" s="43"/>
      <c r="L339" s="9"/>
      <c r="M339" s="9"/>
      <c r="N339" s="43"/>
      <c r="O339" s="48"/>
      <c r="P339" s="48"/>
      <c r="Q339" s="48"/>
      <c r="R339" s="48"/>
      <c r="S339" s="48"/>
      <c r="T339" s="48"/>
      <c r="U339" s="48"/>
      <c r="V339" s="48"/>
      <c r="W339" s="48"/>
      <c r="X339" s="48"/>
      <c r="Y339" s="48"/>
      <c r="Z339" s="48"/>
      <c r="AA339" s="48"/>
      <c r="AB339" s="48"/>
      <c r="AC339" s="48"/>
      <c r="AD339" s="48"/>
      <c r="AE339" s="48"/>
      <c r="AF339" s="48"/>
      <c r="AG339" s="48"/>
      <c r="AH339" s="48"/>
      <c r="AI339" s="48"/>
      <c r="AJ339" s="48"/>
    </row>
    <row r="340" customFormat="false" ht="15" hidden="false" customHeight="false" outlineLevel="0" collapsed="false">
      <c r="A340" s="8"/>
      <c r="B340" s="42"/>
      <c r="C340" s="43"/>
      <c r="D340" s="44"/>
      <c r="E340" s="44"/>
      <c r="F340" s="45"/>
      <c r="G340" s="46"/>
      <c r="H340" s="47"/>
      <c r="I340" s="9"/>
      <c r="J340" s="9"/>
      <c r="K340" s="43"/>
      <c r="L340" s="9"/>
      <c r="M340" s="9"/>
      <c r="N340" s="43"/>
      <c r="O340" s="48"/>
      <c r="P340" s="48"/>
      <c r="Q340" s="48"/>
      <c r="R340" s="48"/>
      <c r="S340" s="48"/>
      <c r="T340" s="48"/>
      <c r="U340" s="48"/>
      <c r="V340" s="48"/>
      <c r="W340" s="48"/>
      <c r="X340" s="48"/>
      <c r="Y340" s="48"/>
      <c r="Z340" s="48"/>
      <c r="AA340" s="48"/>
      <c r="AB340" s="48"/>
      <c r="AC340" s="48"/>
      <c r="AD340" s="48"/>
      <c r="AE340" s="48"/>
      <c r="AF340" s="48"/>
      <c r="AG340" s="48"/>
      <c r="AH340" s="48"/>
      <c r="AI340" s="48"/>
      <c r="AJ340" s="48"/>
    </row>
    <row r="341" customFormat="false" ht="15" hidden="false" customHeight="false" outlineLevel="0" collapsed="false">
      <c r="A341" s="8"/>
      <c r="B341" s="42"/>
      <c r="C341" s="43"/>
      <c r="D341" s="44"/>
      <c r="E341" s="44"/>
      <c r="F341" s="45"/>
      <c r="G341" s="46"/>
      <c r="H341" s="47"/>
      <c r="I341" s="9"/>
      <c r="J341" s="9"/>
      <c r="K341" s="43"/>
      <c r="L341" s="9"/>
      <c r="M341" s="9"/>
      <c r="N341" s="43"/>
      <c r="O341" s="48"/>
      <c r="P341" s="48"/>
      <c r="Q341" s="48"/>
      <c r="R341" s="48"/>
      <c r="S341" s="48"/>
      <c r="T341" s="48"/>
      <c r="U341" s="48"/>
      <c r="V341" s="48"/>
      <c r="W341" s="48"/>
      <c r="X341" s="48"/>
      <c r="Y341" s="48"/>
      <c r="Z341" s="48"/>
      <c r="AA341" s="48"/>
      <c r="AB341" s="48"/>
      <c r="AC341" s="48"/>
      <c r="AD341" s="48"/>
      <c r="AE341" s="48"/>
      <c r="AF341" s="48"/>
      <c r="AG341" s="48"/>
      <c r="AH341" s="48"/>
      <c r="AI341" s="48"/>
      <c r="AJ341" s="48"/>
    </row>
    <row r="342" customFormat="false" ht="15" hidden="false" customHeight="false" outlineLevel="0" collapsed="false">
      <c r="A342" s="8"/>
      <c r="B342" s="42"/>
      <c r="C342" s="43"/>
      <c r="D342" s="44"/>
      <c r="E342" s="44"/>
      <c r="F342" s="45"/>
      <c r="G342" s="46"/>
      <c r="H342" s="47"/>
      <c r="I342" s="9"/>
      <c r="J342" s="9"/>
      <c r="K342" s="43"/>
      <c r="L342" s="9"/>
      <c r="M342" s="9"/>
      <c r="N342" s="43"/>
      <c r="O342" s="48"/>
      <c r="P342" s="48"/>
      <c r="Q342" s="48"/>
      <c r="R342" s="48"/>
      <c r="S342" s="48"/>
      <c r="T342" s="48"/>
      <c r="U342" s="48"/>
      <c r="V342" s="48"/>
      <c r="W342" s="48"/>
      <c r="X342" s="48"/>
      <c r="Y342" s="48"/>
      <c r="Z342" s="48"/>
      <c r="AA342" s="48"/>
      <c r="AB342" s="48"/>
      <c r="AC342" s="48"/>
      <c r="AD342" s="48"/>
      <c r="AE342" s="48"/>
      <c r="AF342" s="48"/>
      <c r="AG342" s="48"/>
      <c r="AH342" s="48"/>
      <c r="AI342" s="48"/>
      <c r="AJ342" s="48"/>
    </row>
    <row r="343" customFormat="false" ht="15" hidden="false" customHeight="false" outlineLevel="0" collapsed="false">
      <c r="A343" s="8"/>
      <c r="B343" s="42"/>
      <c r="C343" s="43"/>
      <c r="D343" s="44"/>
      <c r="E343" s="44"/>
      <c r="F343" s="45"/>
      <c r="G343" s="46"/>
      <c r="H343" s="47"/>
      <c r="I343" s="9"/>
      <c r="J343" s="9"/>
      <c r="K343" s="43"/>
      <c r="L343" s="9"/>
      <c r="M343" s="9"/>
      <c r="N343" s="43"/>
      <c r="O343" s="48"/>
      <c r="P343" s="48"/>
      <c r="Q343" s="48"/>
      <c r="R343" s="48"/>
      <c r="S343" s="48"/>
      <c r="T343" s="48"/>
      <c r="U343" s="48"/>
      <c r="V343" s="48"/>
      <c r="W343" s="48"/>
      <c r="X343" s="48"/>
      <c r="Y343" s="48"/>
      <c r="Z343" s="48"/>
      <c r="AA343" s="48"/>
      <c r="AB343" s="48"/>
      <c r="AC343" s="48"/>
      <c r="AD343" s="48"/>
      <c r="AE343" s="48"/>
      <c r="AF343" s="48"/>
      <c r="AG343" s="48"/>
      <c r="AH343" s="48"/>
      <c r="AI343" s="48"/>
      <c r="AJ343" s="48"/>
    </row>
    <row r="344" customFormat="false" ht="15" hidden="false" customHeight="false" outlineLevel="0" collapsed="false">
      <c r="A344" s="8"/>
      <c r="B344" s="42"/>
      <c r="C344" s="43"/>
      <c r="D344" s="44"/>
      <c r="E344" s="44"/>
      <c r="F344" s="45"/>
      <c r="G344" s="46"/>
      <c r="H344" s="47"/>
      <c r="I344" s="9"/>
      <c r="J344" s="9"/>
      <c r="K344" s="43"/>
      <c r="L344" s="9"/>
      <c r="M344" s="9"/>
      <c r="N344" s="43"/>
      <c r="O344" s="48"/>
      <c r="P344" s="48"/>
      <c r="Q344" s="48"/>
      <c r="R344" s="48"/>
      <c r="S344" s="48"/>
      <c r="T344" s="48"/>
      <c r="U344" s="48"/>
      <c r="V344" s="48"/>
      <c r="W344" s="48"/>
      <c r="X344" s="48"/>
      <c r="Y344" s="48"/>
      <c r="Z344" s="48"/>
      <c r="AA344" s="48"/>
      <c r="AB344" s="48"/>
      <c r="AC344" s="48"/>
      <c r="AD344" s="48"/>
      <c r="AE344" s="48"/>
      <c r="AF344" s="48"/>
      <c r="AG344" s="48"/>
      <c r="AH344" s="48"/>
      <c r="AI344" s="48"/>
      <c r="AJ344" s="48"/>
    </row>
    <row r="345" customFormat="false" ht="15" hidden="false" customHeight="false" outlineLevel="0" collapsed="false">
      <c r="A345" s="8"/>
      <c r="B345" s="42"/>
      <c r="C345" s="43"/>
      <c r="D345" s="44"/>
      <c r="E345" s="44"/>
      <c r="F345" s="45"/>
      <c r="G345" s="46"/>
      <c r="H345" s="47"/>
      <c r="I345" s="9"/>
      <c r="J345" s="9"/>
      <c r="K345" s="43"/>
      <c r="L345" s="9"/>
      <c r="M345" s="9"/>
      <c r="N345" s="43"/>
      <c r="O345" s="48"/>
      <c r="P345" s="48"/>
      <c r="Q345" s="48"/>
      <c r="R345" s="48"/>
      <c r="S345" s="48"/>
      <c r="T345" s="48"/>
      <c r="U345" s="48"/>
      <c r="V345" s="48"/>
      <c r="W345" s="48"/>
      <c r="X345" s="48"/>
      <c r="Y345" s="48"/>
      <c r="Z345" s="48"/>
      <c r="AA345" s="48"/>
      <c r="AB345" s="48"/>
      <c r="AC345" s="48"/>
      <c r="AD345" s="48"/>
      <c r="AE345" s="48"/>
      <c r="AF345" s="48"/>
      <c r="AG345" s="48"/>
      <c r="AH345" s="48"/>
      <c r="AI345" s="48"/>
      <c r="AJ345" s="48"/>
    </row>
    <row r="346" customFormat="false" ht="15" hidden="false" customHeight="false" outlineLevel="0" collapsed="false">
      <c r="A346" s="8"/>
      <c r="B346" s="42"/>
      <c r="C346" s="43"/>
      <c r="D346" s="44"/>
      <c r="E346" s="44"/>
      <c r="F346" s="45"/>
      <c r="G346" s="46"/>
      <c r="H346" s="47"/>
      <c r="I346" s="9"/>
      <c r="J346" s="9"/>
      <c r="K346" s="43"/>
      <c r="L346" s="9"/>
      <c r="M346" s="9"/>
      <c r="N346" s="43"/>
      <c r="O346" s="48"/>
      <c r="P346" s="48"/>
      <c r="Q346" s="48"/>
      <c r="R346" s="48"/>
      <c r="S346" s="48"/>
      <c r="T346" s="48"/>
      <c r="U346" s="48"/>
      <c r="V346" s="48"/>
      <c r="W346" s="48"/>
      <c r="X346" s="48"/>
      <c r="Y346" s="48"/>
      <c r="Z346" s="48"/>
      <c r="AA346" s="48"/>
      <c r="AB346" s="48"/>
      <c r="AC346" s="48"/>
      <c r="AD346" s="48"/>
      <c r="AE346" s="48"/>
      <c r="AF346" s="48"/>
      <c r="AG346" s="48"/>
      <c r="AH346" s="48"/>
      <c r="AI346" s="48"/>
      <c r="AJ346" s="48"/>
    </row>
    <row r="347" customFormat="false" ht="15" hidden="false" customHeight="false" outlineLevel="0" collapsed="false">
      <c r="A347" s="8"/>
      <c r="B347" s="42"/>
      <c r="C347" s="43"/>
      <c r="D347" s="44"/>
      <c r="E347" s="44"/>
      <c r="F347" s="45"/>
      <c r="G347" s="46"/>
      <c r="H347" s="47"/>
      <c r="I347" s="9"/>
      <c r="J347" s="9"/>
      <c r="K347" s="43"/>
      <c r="L347" s="9"/>
      <c r="M347" s="9"/>
      <c r="N347" s="43"/>
      <c r="O347" s="48"/>
      <c r="P347" s="48"/>
      <c r="Q347" s="48"/>
      <c r="R347" s="48"/>
      <c r="S347" s="48"/>
      <c r="T347" s="48"/>
      <c r="U347" s="48"/>
      <c r="V347" s="48"/>
      <c r="W347" s="48"/>
      <c r="X347" s="48"/>
      <c r="Y347" s="48"/>
      <c r="Z347" s="48"/>
      <c r="AA347" s="48"/>
      <c r="AB347" s="48"/>
      <c r="AC347" s="48"/>
      <c r="AD347" s="48"/>
      <c r="AE347" s="48"/>
      <c r="AF347" s="48"/>
      <c r="AG347" s="48"/>
      <c r="AH347" s="48"/>
      <c r="AI347" s="48"/>
      <c r="AJ347" s="48"/>
    </row>
    <row r="348" customFormat="false" ht="15" hidden="false" customHeight="false" outlineLevel="0" collapsed="false">
      <c r="A348" s="8"/>
      <c r="B348" s="42"/>
      <c r="C348" s="43"/>
      <c r="D348" s="44"/>
      <c r="E348" s="44"/>
      <c r="F348" s="45"/>
      <c r="G348" s="46"/>
      <c r="H348" s="47"/>
      <c r="I348" s="9"/>
      <c r="J348" s="9"/>
      <c r="K348" s="43"/>
      <c r="L348" s="9"/>
      <c r="M348" s="9"/>
      <c r="N348" s="43"/>
      <c r="O348" s="48"/>
      <c r="P348" s="48"/>
      <c r="Q348" s="48"/>
      <c r="R348" s="48"/>
      <c r="S348" s="48"/>
      <c r="T348" s="48"/>
      <c r="U348" s="48"/>
      <c r="V348" s="48"/>
      <c r="W348" s="48"/>
      <c r="X348" s="48"/>
      <c r="Y348" s="48"/>
      <c r="Z348" s="48"/>
      <c r="AA348" s="48"/>
      <c r="AB348" s="48"/>
      <c r="AC348" s="48"/>
      <c r="AD348" s="48"/>
      <c r="AE348" s="48"/>
      <c r="AF348" s="48"/>
      <c r="AG348" s="48"/>
      <c r="AH348" s="48"/>
      <c r="AI348" s="48"/>
      <c r="AJ348" s="48"/>
    </row>
    <row r="349" customFormat="false" ht="15" hidden="false" customHeight="false" outlineLevel="0" collapsed="false">
      <c r="A349" s="8"/>
      <c r="B349" s="42"/>
      <c r="C349" s="43"/>
      <c r="D349" s="44"/>
      <c r="E349" s="44"/>
      <c r="F349" s="45"/>
      <c r="G349" s="46"/>
      <c r="H349" s="47"/>
      <c r="I349" s="9"/>
      <c r="J349" s="9"/>
      <c r="K349" s="43"/>
      <c r="L349" s="9"/>
      <c r="M349" s="9"/>
      <c r="N349" s="43"/>
      <c r="O349" s="48"/>
      <c r="P349" s="48"/>
      <c r="Q349" s="48"/>
      <c r="R349" s="48"/>
      <c r="S349" s="48"/>
      <c r="T349" s="48"/>
      <c r="U349" s="48"/>
      <c r="V349" s="48"/>
      <c r="W349" s="48"/>
      <c r="X349" s="48"/>
      <c r="Y349" s="48"/>
      <c r="Z349" s="48"/>
      <c r="AA349" s="48"/>
      <c r="AB349" s="48"/>
      <c r="AC349" s="48"/>
      <c r="AD349" s="48"/>
      <c r="AE349" s="48"/>
      <c r="AF349" s="48"/>
      <c r="AG349" s="48"/>
      <c r="AH349" s="48"/>
      <c r="AI349" s="48"/>
      <c r="AJ349" s="48"/>
    </row>
    <row r="350" customFormat="false" ht="15" hidden="false" customHeight="false" outlineLevel="0" collapsed="false">
      <c r="A350" s="8"/>
      <c r="B350" s="42"/>
      <c r="C350" s="43"/>
      <c r="D350" s="44"/>
      <c r="E350" s="44"/>
      <c r="F350" s="45"/>
      <c r="G350" s="46"/>
      <c r="H350" s="47"/>
      <c r="I350" s="9"/>
      <c r="J350" s="9"/>
      <c r="K350" s="43"/>
      <c r="L350" s="9"/>
      <c r="M350" s="9"/>
      <c r="N350" s="43"/>
      <c r="O350" s="48"/>
      <c r="P350" s="48"/>
      <c r="Q350" s="48"/>
      <c r="R350" s="48"/>
      <c r="S350" s="48"/>
      <c r="T350" s="48"/>
      <c r="U350" s="48"/>
      <c r="V350" s="48"/>
      <c r="W350" s="48"/>
      <c r="X350" s="48"/>
      <c r="Y350" s="48"/>
      <c r="Z350" s="48"/>
      <c r="AA350" s="48"/>
      <c r="AB350" s="48"/>
      <c r="AC350" s="48"/>
      <c r="AD350" s="48"/>
      <c r="AE350" s="48"/>
      <c r="AF350" s="48"/>
      <c r="AG350" s="48"/>
      <c r="AH350" s="48"/>
      <c r="AI350" s="48"/>
      <c r="AJ350" s="48"/>
    </row>
    <row r="351" customFormat="false" ht="15" hidden="false" customHeight="false" outlineLevel="0" collapsed="false">
      <c r="A351" s="8"/>
      <c r="B351" s="42"/>
      <c r="C351" s="43"/>
      <c r="D351" s="44"/>
      <c r="E351" s="44"/>
      <c r="F351" s="45"/>
      <c r="G351" s="46"/>
      <c r="H351" s="47"/>
      <c r="I351" s="9"/>
      <c r="J351" s="9"/>
      <c r="K351" s="43"/>
      <c r="L351" s="9"/>
      <c r="M351" s="9"/>
      <c r="N351" s="43"/>
      <c r="O351" s="48"/>
      <c r="P351" s="48"/>
      <c r="Q351" s="48"/>
      <c r="R351" s="48"/>
      <c r="S351" s="48"/>
      <c r="T351" s="48"/>
      <c r="U351" s="48"/>
      <c r="V351" s="48"/>
      <c r="W351" s="48"/>
      <c r="X351" s="48"/>
      <c r="Y351" s="48"/>
      <c r="Z351" s="48"/>
      <c r="AA351" s="48"/>
      <c r="AB351" s="48"/>
      <c r="AC351" s="48"/>
      <c r="AD351" s="48"/>
      <c r="AE351" s="48"/>
      <c r="AF351" s="48"/>
      <c r="AG351" s="48"/>
      <c r="AH351" s="48"/>
      <c r="AI351" s="48"/>
      <c r="AJ351" s="48"/>
    </row>
    <row r="352" customFormat="false" ht="15" hidden="false" customHeight="false" outlineLevel="0" collapsed="false">
      <c r="A352" s="8"/>
      <c r="B352" s="42"/>
      <c r="C352" s="43"/>
      <c r="D352" s="44"/>
      <c r="E352" s="44"/>
      <c r="F352" s="45"/>
      <c r="G352" s="46"/>
      <c r="H352" s="47"/>
      <c r="I352" s="9"/>
      <c r="J352" s="9"/>
      <c r="K352" s="43"/>
      <c r="L352" s="9"/>
      <c r="M352" s="9"/>
      <c r="N352" s="43"/>
      <c r="O352" s="48"/>
      <c r="P352" s="48"/>
      <c r="Q352" s="48"/>
      <c r="R352" s="48"/>
      <c r="S352" s="48"/>
      <c r="T352" s="48"/>
      <c r="U352" s="48"/>
      <c r="V352" s="48"/>
      <c r="W352" s="48"/>
      <c r="X352" s="48"/>
      <c r="Y352" s="48"/>
      <c r="Z352" s="48"/>
      <c r="AA352" s="48"/>
      <c r="AB352" s="48"/>
      <c r="AC352" s="48"/>
      <c r="AD352" s="48"/>
      <c r="AE352" s="48"/>
      <c r="AF352" s="48"/>
      <c r="AG352" s="48"/>
      <c r="AH352" s="48"/>
      <c r="AI352" s="48"/>
      <c r="AJ352" s="48"/>
    </row>
    <row r="353" customFormat="false" ht="15" hidden="false" customHeight="false" outlineLevel="0" collapsed="false">
      <c r="A353" s="8"/>
      <c r="B353" s="42"/>
      <c r="C353" s="43"/>
      <c r="D353" s="44"/>
      <c r="E353" s="44"/>
      <c r="F353" s="45"/>
      <c r="G353" s="46"/>
      <c r="H353" s="47"/>
      <c r="I353" s="9"/>
      <c r="J353" s="9"/>
      <c r="K353" s="43"/>
      <c r="L353" s="9"/>
      <c r="M353" s="9"/>
      <c r="N353" s="43"/>
      <c r="O353" s="48"/>
      <c r="P353" s="48"/>
      <c r="Q353" s="48"/>
      <c r="R353" s="48"/>
      <c r="S353" s="48"/>
      <c r="T353" s="48"/>
      <c r="U353" s="48"/>
      <c r="V353" s="48"/>
      <c r="W353" s="48"/>
      <c r="X353" s="48"/>
      <c r="Y353" s="48"/>
      <c r="Z353" s="48"/>
      <c r="AA353" s="48"/>
      <c r="AB353" s="48"/>
      <c r="AC353" s="48"/>
      <c r="AD353" s="48"/>
      <c r="AE353" s="48"/>
      <c r="AF353" s="48"/>
      <c r="AG353" s="48"/>
      <c r="AH353" s="48"/>
      <c r="AI353" s="48"/>
      <c r="AJ353" s="48"/>
    </row>
    <row r="354" customFormat="false" ht="15" hidden="false" customHeight="false" outlineLevel="0" collapsed="false">
      <c r="A354" s="8"/>
      <c r="B354" s="42"/>
      <c r="C354" s="43"/>
      <c r="D354" s="44"/>
      <c r="E354" s="44"/>
      <c r="F354" s="45"/>
      <c r="G354" s="46"/>
      <c r="H354" s="47"/>
      <c r="I354" s="9"/>
      <c r="J354" s="9"/>
      <c r="K354" s="43"/>
      <c r="L354" s="9"/>
      <c r="M354" s="9"/>
      <c r="N354" s="43"/>
      <c r="O354" s="48"/>
      <c r="P354" s="48"/>
      <c r="Q354" s="48"/>
      <c r="R354" s="48"/>
      <c r="S354" s="48"/>
      <c r="T354" s="48"/>
      <c r="U354" s="48"/>
      <c r="V354" s="48"/>
      <c r="W354" s="48"/>
      <c r="X354" s="48"/>
      <c r="Y354" s="48"/>
      <c r="Z354" s="48"/>
      <c r="AA354" s="48"/>
      <c r="AB354" s="48"/>
      <c r="AC354" s="48"/>
      <c r="AD354" s="48"/>
      <c r="AE354" s="48"/>
      <c r="AF354" s="48"/>
      <c r="AG354" s="48"/>
      <c r="AH354" s="48"/>
      <c r="AI354" s="48"/>
      <c r="AJ354" s="48"/>
    </row>
    <row r="355" customFormat="false" ht="15" hidden="false" customHeight="false" outlineLevel="0" collapsed="false">
      <c r="A355" s="8"/>
      <c r="B355" s="42"/>
      <c r="C355" s="43"/>
      <c r="D355" s="44"/>
      <c r="E355" s="44"/>
      <c r="F355" s="45"/>
      <c r="G355" s="46"/>
      <c r="H355" s="47"/>
      <c r="I355" s="9"/>
      <c r="J355" s="9"/>
      <c r="K355" s="43"/>
      <c r="L355" s="9"/>
      <c r="M355" s="9"/>
      <c r="N355" s="43"/>
      <c r="O355" s="48"/>
      <c r="P355" s="48"/>
      <c r="Q355" s="48"/>
      <c r="R355" s="48"/>
      <c r="S355" s="48"/>
      <c r="T355" s="48"/>
      <c r="U355" s="48"/>
      <c r="V355" s="48"/>
      <c r="W355" s="48"/>
      <c r="X355" s="48"/>
      <c r="Y355" s="48"/>
      <c r="Z355" s="48"/>
      <c r="AA355" s="48"/>
      <c r="AB355" s="48"/>
      <c r="AC355" s="48"/>
      <c r="AD355" s="48"/>
      <c r="AE355" s="48"/>
      <c r="AF355" s="48"/>
      <c r="AG355" s="48"/>
      <c r="AH355" s="48"/>
      <c r="AI355" s="48"/>
      <c r="AJ355" s="48"/>
    </row>
    <row r="356" customFormat="false" ht="15" hidden="false" customHeight="false" outlineLevel="0" collapsed="false">
      <c r="A356" s="8"/>
      <c r="B356" s="42"/>
      <c r="C356" s="43"/>
      <c r="D356" s="44"/>
      <c r="E356" s="44"/>
      <c r="F356" s="45"/>
      <c r="G356" s="46"/>
      <c r="H356" s="47"/>
      <c r="I356" s="9"/>
      <c r="J356" s="9"/>
      <c r="K356" s="43"/>
      <c r="L356" s="9"/>
      <c r="M356" s="9"/>
      <c r="N356" s="43"/>
      <c r="O356" s="48"/>
      <c r="P356" s="48"/>
      <c r="Q356" s="48"/>
      <c r="R356" s="48"/>
      <c r="S356" s="48"/>
      <c r="T356" s="48"/>
      <c r="U356" s="48"/>
      <c r="V356" s="48"/>
      <c r="W356" s="48"/>
      <c r="X356" s="48"/>
      <c r="Y356" s="48"/>
      <c r="Z356" s="48"/>
      <c r="AA356" s="48"/>
      <c r="AB356" s="48"/>
      <c r="AC356" s="48"/>
      <c r="AD356" s="48"/>
      <c r="AE356" s="48"/>
      <c r="AF356" s="48"/>
      <c r="AG356" s="48"/>
      <c r="AH356" s="48"/>
      <c r="AI356" s="48"/>
      <c r="AJ356" s="48"/>
    </row>
    <row r="357" customFormat="false" ht="15" hidden="false" customHeight="false" outlineLevel="0" collapsed="false">
      <c r="A357" s="8"/>
      <c r="B357" s="42"/>
      <c r="C357" s="43"/>
      <c r="D357" s="44"/>
      <c r="E357" s="44"/>
      <c r="F357" s="45"/>
      <c r="G357" s="46"/>
      <c r="H357" s="47"/>
      <c r="I357" s="9"/>
      <c r="J357" s="9"/>
      <c r="K357" s="43"/>
      <c r="L357" s="9"/>
      <c r="M357" s="9"/>
      <c r="N357" s="43"/>
      <c r="O357" s="48"/>
      <c r="P357" s="48"/>
      <c r="Q357" s="48"/>
      <c r="R357" s="48"/>
      <c r="S357" s="48"/>
      <c r="T357" s="48"/>
      <c r="U357" s="48"/>
      <c r="V357" s="48"/>
      <c r="W357" s="48"/>
      <c r="X357" s="48"/>
      <c r="Y357" s="48"/>
      <c r="Z357" s="48"/>
      <c r="AA357" s="48"/>
      <c r="AB357" s="48"/>
      <c r="AC357" s="48"/>
      <c r="AD357" s="48"/>
      <c r="AE357" s="48"/>
      <c r="AF357" s="48"/>
      <c r="AG357" s="48"/>
      <c r="AH357" s="48"/>
      <c r="AI357" s="48"/>
      <c r="AJ357" s="48"/>
    </row>
    <row r="358" customFormat="false" ht="15" hidden="false" customHeight="false" outlineLevel="0" collapsed="false">
      <c r="A358" s="8"/>
      <c r="B358" s="42"/>
      <c r="C358" s="43"/>
      <c r="D358" s="44"/>
      <c r="E358" s="44"/>
      <c r="F358" s="45"/>
      <c r="G358" s="46"/>
      <c r="H358" s="47"/>
      <c r="I358" s="9"/>
      <c r="J358" s="9"/>
      <c r="K358" s="43"/>
      <c r="L358" s="9"/>
      <c r="M358" s="9"/>
      <c r="N358" s="43"/>
      <c r="O358" s="48"/>
      <c r="P358" s="48"/>
      <c r="Q358" s="48"/>
      <c r="R358" s="48"/>
      <c r="S358" s="48"/>
      <c r="T358" s="48"/>
      <c r="U358" s="48"/>
      <c r="V358" s="48"/>
      <c r="W358" s="48"/>
      <c r="X358" s="48"/>
      <c r="Y358" s="48"/>
      <c r="Z358" s="48"/>
      <c r="AA358" s="48"/>
      <c r="AB358" s="48"/>
      <c r="AC358" s="48"/>
      <c r="AD358" s="48"/>
      <c r="AE358" s="48"/>
      <c r="AF358" s="48"/>
      <c r="AG358" s="48"/>
      <c r="AH358" s="48"/>
      <c r="AI358" s="48"/>
      <c r="AJ358" s="48"/>
    </row>
    <row r="359" customFormat="false" ht="15" hidden="false" customHeight="false" outlineLevel="0" collapsed="false">
      <c r="A359" s="8"/>
      <c r="B359" s="42"/>
      <c r="C359" s="43"/>
      <c r="D359" s="44"/>
      <c r="E359" s="44"/>
      <c r="F359" s="45"/>
      <c r="G359" s="46"/>
      <c r="H359" s="47"/>
      <c r="I359" s="9"/>
      <c r="J359" s="9"/>
      <c r="K359" s="43"/>
      <c r="L359" s="9"/>
      <c r="M359" s="9"/>
      <c r="N359" s="43"/>
      <c r="O359" s="48"/>
      <c r="P359" s="48"/>
      <c r="Q359" s="48"/>
      <c r="R359" s="48"/>
      <c r="S359" s="48"/>
      <c r="T359" s="48"/>
      <c r="U359" s="48"/>
      <c r="V359" s="48"/>
      <c r="W359" s="48"/>
      <c r="X359" s="48"/>
      <c r="Y359" s="48"/>
      <c r="Z359" s="48"/>
      <c r="AA359" s="48"/>
      <c r="AB359" s="48"/>
      <c r="AC359" s="48"/>
      <c r="AD359" s="48"/>
      <c r="AE359" s="48"/>
      <c r="AF359" s="48"/>
      <c r="AG359" s="48"/>
      <c r="AH359" s="48"/>
      <c r="AI359" s="48"/>
      <c r="AJ359" s="48"/>
    </row>
    <row r="360" customFormat="false" ht="15" hidden="false" customHeight="false" outlineLevel="0" collapsed="false">
      <c r="A360" s="8"/>
      <c r="B360" s="42"/>
      <c r="C360" s="43"/>
      <c r="D360" s="44"/>
      <c r="E360" s="44"/>
      <c r="F360" s="45"/>
      <c r="G360" s="46"/>
      <c r="H360" s="47"/>
      <c r="I360" s="9"/>
      <c r="J360" s="9"/>
      <c r="K360" s="43"/>
      <c r="L360" s="9"/>
      <c r="M360" s="9"/>
      <c r="N360" s="43"/>
      <c r="O360" s="48"/>
      <c r="P360" s="48"/>
      <c r="Q360" s="48"/>
      <c r="R360" s="48"/>
      <c r="S360" s="48"/>
      <c r="T360" s="48"/>
      <c r="U360" s="48"/>
      <c r="V360" s="48"/>
      <c r="W360" s="48"/>
      <c r="X360" s="48"/>
      <c r="Y360" s="48"/>
      <c r="Z360" s="48"/>
      <c r="AA360" s="48"/>
      <c r="AB360" s="48"/>
      <c r="AC360" s="48"/>
      <c r="AD360" s="48"/>
      <c r="AE360" s="48"/>
      <c r="AF360" s="48"/>
      <c r="AG360" s="48"/>
      <c r="AH360" s="48"/>
      <c r="AI360" s="48"/>
      <c r="AJ360" s="48"/>
    </row>
    <row r="361" customFormat="false" ht="15" hidden="false" customHeight="false" outlineLevel="0" collapsed="false">
      <c r="A361" s="8"/>
      <c r="B361" s="42"/>
      <c r="C361" s="43"/>
      <c r="D361" s="44"/>
      <c r="E361" s="44"/>
      <c r="F361" s="45"/>
      <c r="G361" s="46"/>
      <c r="H361" s="47"/>
      <c r="I361" s="9"/>
      <c r="J361" s="9"/>
      <c r="K361" s="43"/>
      <c r="L361" s="9"/>
      <c r="M361" s="9"/>
      <c r="N361" s="43"/>
      <c r="O361" s="48"/>
      <c r="P361" s="48"/>
      <c r="Q361" s="48"/>
      <c r="R361" s="48"/>
      <c r="S361" s="48"/>
      <c r="T361" s="48"/>
      <c r="U361" s="48"/>
      <c r="V361" s="48"/>
      <c r="W361" s="48"/>
      <c r="X361" s="48"/>
      <c r="Y361" s="48"/>
      <c r="Z361" s="48"/>
      <c r="AA361" s="48"/>
      <c r="AB361" s="48"/>
      <c r="AC361" s="48"/>
      <c r="AD361" s="48"/>
      <c r="AE361" s="48"/>
      <c r="AF361" s="48"/>
      <c r="AG361" s="48"/>
      <c r="AH361" s="48"/>
      <c r="AI361" s="48"/>
      <c r="AJ361" s="48"/>
    </row>
    <row r="362" customFormat="false" ht="15" hidden="false" customHeight="false" outlineLevel="0" collapsed="false">
      <c r="A362" s="8"/>
      <c r="B362" s="42"/>
      <c r="C362" s="43"/>
      <c r="D362" s="44"/>
      <c r="E362" s="44"/>
      <c r="F362" s="45"/>
      <c r="G362" s="46"/>
      <c r="H362" s="47"/>
      <c r="I362" s="9"/>
      <c r="J362" s="9"/>
      <c r="K362" s="43"/>
      <c r="L362" s="9"/>
      <c r="M362" s="9"/>
      <c r="N362" s="43"/>
      <c r="O362" s="48"/>
      <c r="P362" s="48"/>
      <c r="Q362" s="48"/>
      <c r="R362" s="48"/>
      <c r="S362" s="48"/>
      <c r="T362" s="48"/>
      <c r="U362" s="48"/>
      <c r="V362" s="48"/>
      <c r="W362" s="48"/>
      <c r="X362" s="48"/>
      <c r="Y362" s="48"/>
      <c r="Z362" s="48"/>
      <c r="AA362" s="48"/>
      <c r="AB362" s="48"/>
      <c r="AC362" s="48"/>
      <c r="AD362" s="48"/>
      <c r="AE362" s="48"/>
      <c r="AF362" s="48"/>
      <c r="AG362" s="48"/>
      <c r="AH362" s="48"/>
      <c r="AI362" s="48"/>
      <c r="AJ362" s="48"/>
    </row>
    <row r="363" customFormat="false" ht="15" hidden="false" customHeight="false" outlineLevel="0" collapsed="false">
      <c r="A363" s="8"/>
      <c r="B363" s="42"/>
      <c r="C363" s="43"/>
      <c r="D363" s="44"/>
      <c r="E363" s="44"/>
      <c r="F363" s="45"/>
      <c r="G363" s="46"/>
      <c r="H363" s="47"/>
      <c r="I363" s="9"/>
      <c r="J363" s="9"/>
      <c r="K363" s="43"/>
      <c r="L363" s="9"/>
      <c r="M363" s="9"/>
      <c r="N363" s="43"/>
      <c r="O363" s="48"/>
      <c r="P363" s="48"/>
      <c r="Q363" s="48"/>
      <c r="R363" s="48"/>
      <c r="S363" s="48"/>
      <c r="T363" s="48"/>
      <c r="U363" s="48"/>
      <c r="V363" s="48"/>
      <c r="W363" s="48"/>
      <c r="X363" s="48"/>
      <c r="Y363" s="48"/>
      <c r="Z363" s="48"/>
      <c r="AA363" s="48"/>
      <c r="AB363" s="48"/>
      <c r="AC363" s="48"/>
      <c r="AD363" s="48"/>
      <c r="AE363" s="48"/>
      <c r="AF363" s="48"/>
      <c r="AG363" s="48"/>
      <c r="AH363" s="48"/>
      <c r="AI363" s="48"/>
      <c r="AJ363" s="48"/>
    </row>
    <row r="364" customFormat="false" ht="15" hidden="false" customHeight="false" outlineLevel="0" collapsed="false">
      <c r="A364" s="8"/>
      <c r="B364" s="42"/>
      <c r="C364" s="43"/>
      <c r="D364" s="44"/>
      <c r="E364" s="44"/>
      <c r="F364" s="45"/>
      <c r="G364" s="46"/>
      <c r="H364" s="47"/>
      <c r="I364" s="9"/>
      <c r="J364" s="9"/>
      <c r="K364" s="43"/>
      <c r="L364" s="9"/>
      <c r="M364" s="9"/>
      <c r="N364" s="43"/>
      <c r="O364" s="48"/>
      <c r="P364" s="48"/>
      <c r="Q364" s="48"/>
      <c r="R364" s="48"/>
      <c r="S364" s="48"/>
      <c r="T364" s="48"/>
      <c r="U364" s="48"/>
      <c r="V364" s="48"/>
      <c r="W364" s="48"/>
      <c r="X364" s="48"/>
      <c r="Y364" s="48"/>
      <c r="Z364" s="48"/>
      <c r="AA364" s="48"/>
      <c r="AB364" s="48"/>
      <c r="AC364" s="48"/>
      <c r="AD364" s="48"/>
      <c r="AE364" s="48"/>
      <c r="AF364" s="48"/>
      <c r="AG364" s="48"/>
      <c r="AH364" s="48"/>
      <c r="AI364" s="48"/>
      <c r="AJ364" s="48"/>
    </row>
    <row r="365" customFormat="false" ht="15" hidden="false" customHeight="false" outlineLevel="0" collapsed="false">
      <c r="A365" s="8"/>
      <c r="B365" s="42"/>
      <c r="C365" s="43"/>
      <c r="D365" s="44"/>
      <c r="E365" s="44"/>
      <c r="F365" s="45"/>
      <c r="G365" s="46"/>
      <c r="H365" s="47"/>
      <c r="I365" s="9"/>
      <c r="J365" s="9"/>
      <c r="K365" s="43"/>
      <c r="L365" s="9"/>
      <c r="M365" s="9"/>
      <c r="N365" s="43"/>
      <c r="O365" s="48"/>
      <c r="P365" s="48"/>
      <c r="Q365" s="48"/>
      <c r="R365" s="48"/>
      <c r="S365" s="48"/>
      <c r="T365" s="48"/>
      <c r="U365" s="48"/>
      <c r="V365" s="48"/>
      <c r="W365" s="48"/>
      <c r="X365" s="48"/>
      <c r="Y365" s="48"/>
      <c r="Z365" s="48"/>
      <c r="AA365" s="48"/>
      <c r="AB365" s="48"/>
      <c r="AC365" s="48"/>
      <c r="AD365" s="48"/>
      <c r="AE365" s="48"/>
      <c r="AF365" s="48"/>
      <c r="AG365" s="48"/>
      <c r="AH365" s="48"/>
      <c r="AI365" s="48"/>
      <c r="AJ365" s="48"/>
    </row>
    <row r="366" customFormat="false" ht="15" hidden="false" customHeight="false" outlineLevel="0" collapsed="false">
      <c r="A366" s="8"/>
      <c r="B366" s="42"/>
      <c r="C366" s="43"/>
      <c r="D366" s="44"/>
      <c r="E366" s="44"/>
      <c r="F366" s="45"/>
      <c r="G366" s="46"/>
      <c r="H366" s="47"/>
      <c r="I366" s="9"/>
      <c r="J366" s="9"/>
      <c r="K366" s="43"/>
      <c r="L366" s="9"/>
      <c r="M366" s="9"/>
      <c r="N366" s="43"/>
      <c r="O366" s="48"/>
      <c r="P366" s="48"/>
      <c r="Q366" s="48"/>
      <c r="R366" s="48"/>
      <c r="S366" s="48"/>
      <c r="T366" s="48"/>
      <c r="U366" s="48"/>
      <c r="V366" s="48"/>
      <c r="W366" s="48"/>
      <c r="X366" s="48"/>
      <c r="Y366" s="48"/>
      <c r="Z366" s="48"/>
      <c r="AA366" s="48"/>
      <c r="AB366" s="48"/>
      <c r="AC366" s="48"/>
      <c r="AD366" s="48"/>
      <c r="AE366" s="48"/>
      <c r="AF366" s="48"/>
      <c r="AG366" s="48"/>
      <c r="AH366" s="48"/>
      <c r="AI366" s="48"/>
      <c r="AJ366" s="48"/>
    </row>
    <row r="367" customFormat="false" ht="15" hidden="false" customHeight="false" outlineLevel="0" collapsed="false">
      <c r="A367" s="8"/>
      <c r="B367" s="42"/>
      <c r="C367" s="43"/>
      <c r="D367" s="44"/>
      <c r="E367" s="44"/>
      <c r="F367" s="45"/>
      <c r="G367" s="46"/>
      <c r="H367" s="47"/>
      <c r="I367" s="9"/>
      <c r="J367" s="9"/>
      <c r="K367" s="43"/>
      <c r="L367" s="9"/>
      <c r="M367" s="9"/>
      <c r="N367" s="43"/>
      <c r="O367" s="48"/>
      <c r="P367" s="48"/>
      <c r="Q367" s="48"/>
      <c r="R367" s="48"/>
      <c r="S367" s="48"/>
      <c r="T367" s="48"/>
      <c r="U367" s="48"/>
      <c r="V367" s="48"/>
      <c r="W367" s="48"/>
      <c r="X367" s="48"/>
      <c r="Y367" s="48"/>
      <c r="Z367" s="48"/>
      <c r="AA367" s="48"/>
      <c r="AB367" s="48"/>
      <c r="AC367" s="48"/>
      <c r="AD367" s="48"/>
      <c r="AE367" s="48"/>
      <c r="AF367" s="48"/>
      <c r="AG367" s="48"/>
      <c r="AH367" s="48"/>
      <c r="AI367" s="48"/>
      <c r="AJ367" s="48"/>
    </row>
    <row r="368" customFormat="false" ht="15" hidden="false" customHeight="false" outlineLevel="0" collapsed="false">
      <c r="A368" s="8"/>
      <c r="B368" s="42"/>
      <c r="C368" s="43"/>
      <c r="D368" s="44"/>
      <c r="E368" s="44"/>
      <c r="F368" s="45"/>
      <c r="G368" s="46"/>
      <c r="H368" s="47"/>
      <c r="I368" s="9"/>
      <c r="J368" s="9"/>
      <c r="K368" s="43"/>
      <c r="L368" s="9"/>
      <c r="M368" s="9"/>
      <c r="N368" s="43"/>
      <c r="O368" s="48"/>
      <c r="P368" s="48"/>
      <c r="Q368" s="48"/>
      <c r="R368" s="48"/>
      <c r="S368" s="48"/>
      <c r="T368" s="48"/>
      <c r="U368" s="48"/>
      <c r="V368" s="48"/>
      <c r="W368" s="48"/>
      <c r="X368" s="48"/>
      <c r="Y368" s="48"/>
      <c r="Z368" s="48"/>
      <c r="AA368" s="48"/>
      <c r="AB368" s="48"/>
      <c r="AC368" s="48"/>
      <c r="AD368" s="48"/>
      <c r="AE368" s="48"/>
      <c r="AF368" s="48"/>
      <c r="AG368" s="48"/>
      <c r="AH368" s="48"/>
      <c r="AI368" s="48"/>
      <c r="AJ368" s="48"/>
    </row>
    <row r="369" customFormat="false" ht="15" hidden="false" customHeight="false" outlineLevel="0" collapsed="false">
      <c r="A369" s="8"/>
      <c r="B369" s="42"/>
      <c r="C369" s="43"/>
      <c r="D369" s="44"/>
      <c r="E369" s="44"/>
      <c r="F369" s="45"/>
      <c r="G369" s="46"/>
      <c r="H369" s="47"/>
      <c r="I369" s="9"/>
      <c r="J369" s="9"/>
      <c r="K369" s="43"/>
      <c r="L369" s="9"/>
      <c r="M369" s="9"/>
      <c r="N369" s="43"/>
      <c r="O369" s="48"/>
      <c r="P369" s="48"/>
      <c r="Q369" s="48"/>
      <c r="R369" s="48"/>
      <c r="S369" s="48"/>
      <c r="T369" s="48"/>
      <c r="U369" s="48"/>
      <c r="V369" s="48"/>
      <c r="W369" s="48"/>
      <c r="X369" s="48"/>
      <c r="Y369" s="48"/>
      <c r="Z369" s="48"/>
      <c r="AA369" s="48"/>
      <c r="AB369" s="48"/>
      <c r="AC369" s="48"/>
      <c r="AD369" s="48"/>
      <c r="AE369" s="48"/>
      <c r="AF369" s="48"/>
      <c r="AG369" s="48"/>
      <c r="AH369" s="48"/>
      <c r="AI369" s="48"/>
      <c r="AJ369" s="48"/>
    </row>
    <row r="370" customFormat="false" ht="15" hidden="false" customHeight="false" outlineLevel="0" collapsed="false">
      <c r="A370" s="8"/>
      <c r="B370" s="42"/>
      <c r="C370" s="43"/>
      <c r="D370" s="44"/>
      <c r="E370" s="44"/>
      <c r="F370" s="45"/>
      <c r="G370" s="46"/>
      <c r="H370" s="47"/>
      <c r="I370" s="9"/>
      <c r="J370" s="9"/>
      <c r="K370" s="43"/>
      <c r="L370" s="9"/>
      <c r="M370" s="9"/>
      <c r="N370" s="43"/>
      <c r="O370" s="48"/>
      <c r="P370" s="48"/>
      <c r="Q370" s="48"/>
      <c r="R370" s="48"/>
      <c r="S370" s="48"/>
      <c r="T370" s="48"/>
      <c r="U370" s="48"/>
      <c r="V370" s="48"/>
      <c r="W370" s="48"/>
      <c r="X370" s="48"/>
      <c r="Y370" s="48"/>
      <c r="Z370" s="48"/>
      <c r="AA370" s="48"/>
      <c r="AB370" s="48"/>
      <c r="AC370" s="48"/>
      <c r="AD370" s="48"/>
      <c r="AE370" s="48"/>
      <c r="AF370" s="48"/>
      <c r="AG370" s="48"/>
      <c r="AH370" s="48"/>
      <c r="AI370" s="48"/>
      <c r="AJ370" s="48"/>
    </row>
    <row r="371" customFormat="false" ht="15" hidden="false" customHeight="false" outlineLevel="0" collapsed="false">
      <c r="A371" s="8"/>
      <c r="B371" s="42"/>
      <c r="C371" s="43"/>
      <c r="D371" s="44"/>
      <c r="E371" s="44"/>
      <c r="F371" s="45"/>
      <c r="G371" s="46"/>
      <c r="H371" s="47"/>
      <c r="I371" s="9"/>
      <c r="J371" s="9"/>
      <c r="K371" s="43"/>
      <c r="L371" s="9"/>
      <c r="M371" s="9"/>
      <c r="N371" s="43"/>
      <c r="O371" s="48"/>
      <c r="P371" s="48"/>
      <c r="Q371" s="48"/>
      <c r="R371" s="48"/>
      <c r="S371" s="48"/>
      <c r="T371" s="48"/>
      <c r="U371" s="48"/>
      <c r="V371" s="48"/>
      <c r="W371" s="48"/>
      <c r="X371" s="48"/>
      <c r="Y371" s="48"/>
      <c r="Z371" s="48"/>
      <c r="AA371" s="48"/>
      <c r="AB371" s="48"/>
      <c r="AC371" s="48"/>
      <c r="AD371" s="48"/>
      <c r="AE371" s="48"/>
      <c r="AF371" s="48"/>
      <c r="AG371" s="48"/>
      <c r="AH371" s="48"/>
      <c r="AI371" s="48"/>
      <c r="AJ371" s="48"/>
    </row>
    <row r="372" customFormat="false" ht="15" hidden="false" customHeight="false" outlineLevel="0" collapsed="false">
      <c r="A372" s="8"/>
      <c r="B372" s="42"/>
      <c r="C372" s="43"/>
      <c r="D372" s="44"/>
      <c r="E372" s="44"/>
      <c r="F372" s="45"/>
      <c r="G372" s="46"/>
      <c r="H372" s="47"/>
      <c r="I372" s="9"/>
      <c r="J372" s="9"/>
      <c r="K372" s="43"/>
      <c r="L372" s="9"/>
      <c r="M372" s="9"/>
      <c r="N372" s="43"/>
      <c r="O372" s="48"/>
      <c r="P372" s="48"/>
      <c r="Q372" s="48"/>
      <c r="R372" s="48"/>
      <c r="S372" s="48"/>
      <c r="T372" s="48"/>
      <c r="U372" s="48"/>
      <c r="V372" s="48"/>
      <c r="W372" s="48"/>
      <c r="X372" s="48"/>
      <c r="Y372" s="48"/>
      <c r="Z372" s="48"/>
      <c r="AA372" s="48"/>
      <c r="AB372" s="48"/>
      <c r="AC372" s="48"/>
      <c r="AD372" s="48"/>
      <c r="AE372" s="48"/>
      <c r="AF372" s="48"/>
      <c r="AG372" s="48"/>
      <c r="AH372" s="48"/>
      <c r="AI372" s="48"/>
      <c r="AJ372" s="48"/>
    </row>
    <row r="373" customFormat="false" ht="15" hidden="false" customHeight="false" outlineLevel="0" collapsed="false">
      <c r="A373" s="8"/>
      <c r="B373" s="42"/>
      <c r="C373" s="43"/>
      <c r="D373" s="44"/>
      <c r="E373" s="44"/>
      <c r="F373" s="45"/>
      <c r="G373" s="46"/>
      <c r="H373" s="47"/>
      <c r="I373" s="9"/>
      <c r="J373" s="9"/>
      <c r="K373" s="43"/>
      <c r="L373" s="9"/>
      <c r="M373" s="9"/>
      <c r="N373" s="43"/>
      <c r="O373" s="48"/>
      <c r="P373" s="48"/>
      <c r="Q373" s="48"/>
      <c r="R373" s="48"/>
      <c r="S373" s="48"/>
      <c r="T373" s="48"/>
      <c r="U373" s="48"/>
      <c r="V373" s="48"/>
      <c r="W373" s="48"/>
      <c r="X373" s="48"/>
      <c r="Y373" s="48"/>
      <c r="Z373" s="48"/>
      <c r="AA373" s="48"/>
      <c r="AB373" s="48"/>
      <c r="AC373" s="48"/>
      <c r="AD373" s="48"/>
      <c r="AE373" s="48"/>
      <c r="AF373" s="48"/>
      <c r="AG373" s="48"/>
      <c r="AH373" s="48"/>
      <c r="AI373" s="48"/>
      <c r="AJ373" s="48"/>
    </row>
    <row r="374" customFormat="false" ht="15" hidden="false" customHeight="false" outlineLevel="0" collapsed="false">
      <c r="A374" s="8"/>
      <c r="B374" s="42"/>
      <c r="C374" s="43"/>
      <c r="D374" s="44"/>
      <c r="E374" s="44"/>
      <c r="F374" s="45"/>
      <c r="G374" s="46"/>
      <c r="H374" s="47"/>
      <c r="I374" s="9"/>
      <c r="J374" s="9"/>
      <c r="K374" s="43"/>
      <c r="L374" s="9"/>
      <c r="M374" s="9"/>
      <c r="N374" s="43"/>
      <c r="O374" s="48"/>
      <c r="P374" s="48"/>
      <c r="Q374" s="48"/>
      <c r="R374" s="48"/>
      <c r="S374" s="48"/>
      <c r="T374" s="48"/>
      <c r="U374" s="48"/>
      <c r="V374" s="48"/>
      <c r="W374" s="48"/>
      <c r="X374" s="48"/>
      <c r="Y374" s="48"/>
      <c r="Z374" s="48"/>
      <c r="AA374" s="48"/>
      <c r="AB374" s="48"/>
      <c r="AC374" s="48"/>
      <c r="AD374" s="48"/>
      <c r="AE374" s="48"/>
      <c r="AF374" s="48"/>
      <c r="AG374" s="48"/>
      <c r="AH374" s="48"/>
      <c r="AI374" s="48"/>
      <c r="AJ374" s="48"/>
    </row>
    <row r="375" customFormat="false" ht="15" hidden="false" customHeight="false" outlineLevel="0" collapsed="false">
      <c r="A375" s="8"/>
      <c r="B375" s="42"/>
      <c r="C375" s="43"/>
      <c r="D375" s="44"/>
      <c r="E375" s="44"/>
      <c r="F375" s="45"/>
      <c r="G375" s="46"/>
      <c r="H375" s="47"/>
      <c r="I375" s="9"/>
      <c r="J375" s="9"/>
      <c r="K375" s="43"/>
      <c r="L375" s="9"/>
      <c r="M375" s="9"/>
      <c r="N375" s="43"/>
      <c r="O375" s="48"/>
      <c r="P375" s="48"/>
      <c r="Q375" s="48"/>
      <c r="R375" s="48"/>
      <c r="S375" s="48"/>
      <c r="T375" s="48"/>
      <c r="U375" s="48"/>
      <c r="V375" s="48"/>
      <c r="W375" s="48"/>
      <c r="X375" s="48"/>
      <c r="Y375" s="48"/>
      <c r="Z375" s="48"/>
      <c r="AA375" s="48"/>
      <c r="AB375" s="48"/>
      <c r="AC375" s="48"/>
      <c r="AD375" s="48"/>
      <c r="AE375" s="48"/>
      <c r="AF375" s="48"/>
      <c r="AG375" s="48"/>
      <c r="AH375" s="48"/>
      <c r="AI375" s="48"/>
      <c r="AJ375" s="48"/>
    </row>
    <row r="376" customFormat="false" ht="15" hidden="false" customHeight="false" outlineLevel="0" collapsed="false">
      <c r="A376" s="8"/>
      <c r="B376" s="42"/>
      <c r="C376" s="43"/>
      <c r="D376" s="44"/>
      <c r="E376" s="44"/>
      <c r="F376" s="45"/>
      <c r="G376" s="46"/>
      <c r="H376" s="47"/>
      <c r="I376" s="9"/>
      <c r="J376" s="9"/>
      <c r="K376" s="43"/>
      <c r="L376" s="9"/>
      <c r="M376" s="9"/>
      <c r="N376" s="43"/>
      <c r="O376" s="48"/>
      <c r="P376" s="48"/>
      <c r="Q376" s="48"/>
      <c r="R376" s="48"/>
      <c r="S376" s="48"/>
      <c r="T376" s="48"/>
      <c r="U376" s="48"/>
      <c r="V376" s="48"/>
      <c r="W376" s="48"/>
      <c r="X376" s="48"/>
      <c r="Y376" s="48"/>
      <c r="Z376" s="48"/>
      <c r="AA376" s="48"/>
      <c r="AB376" s="48"/>
      <c r="AC376" s="48"/>
      <c r="AD376" s="48"/>
      <c r="AE376" s="48"/>
      <c r="AF376" s="48"/>
      <c r="AG376" s="48"/>
      <c r="AH376" s="48"/>
      <c r="AI376" s="48"/>
      <c r="AJ376" s="48"/>
    </row>
    <row r="377" customFormat="false" ht="15" hidden="false" customHeight="false" outlineLevel="0" collapsed="false">
      <c r="A377" s="8"/>
      <c r="B377" s="42"/>
      <c r="C377" s="43"/>
      <c r="D377" s="44"/>
      <c r="E377" s="44"/>
      <c r="F377" s="45"/>
      <c r="G377" s="46"/>
      <c r="H377" s="47"/>
      <c r="I377" s="9"/>
      <c r="J377" s="9"/>
      <c r="K377" s="43"/>
      <c r="L377" s="9"/>
      <c r="M377" s="9"/>
      <c r="N377" s="43"/>
      <c r="O377" s="48"/>
      <c r="P377" s="48"/>
      <c r="Q377" s="48"/>
      <c r="R377" s="48"/>
      <c r="S377" s="48"/>
      <c r="T377" s="48"/>
      <c r="U377" s="48"/>
      <c r="V377" s="48"/>
      <c r="W377" s="48"/>
      <c r="X377" s="48"/>
      <c r="Y377" s="48"/>
      <c r="Z377" s="48"/>
      <c r="AA377" s="48"/>
      <c r="AB377" s="48"/>
      <c r="AC377" s="48"/>
      <c r="AD377" s="48"/>
      <c r="AE377" s="48"/>
      <c r="AF377" s="48"/>
      <c r="AG377" s="48"/>
      <c r="AH377" s="48"/>
      <c r="AI377" s="48"/>
      <c r="AJ377" s="48"/>
    </row>
    <row r="378" customFormat="false" ht="15" hidden="false" customHeight="false" outlineLevel="0" collapsed="false">
      <c r="A378" s="8"/>
      <c r="B378" s="42"/>
      <c r="C378" s="43"/>
      <c r="D378" s="44"/>
      <c r="E378" s="44"/>
      <c r="F378" s="45"/>
      <c r="G378" s="46"/>
      <c r="H378" s="47"/>
      <c r="I378" s="9"/>
      <c r="J378" s="9"/>
      <c r="K378" s="43"/>
      <c r="L378" s="9"/>
      <c r="M378" s="9"/>
      <c r="N378" s="43"/>
      <c r="O378" s="48"/>
      <c r="P378" s="48"/>
      <c r="Q378" s="48"/>
      <c r="R378" s="48"/>
      <c r="S378" s="48"/>
      <c r="T378" s="48"/>
      <c r="U378" s="48"/>
      <c r="V378" s="48"/>
      <c r="W378" s="48"/>
      <c r="X378" s="48"/>
      <c r="Y378" s="48"/>
      <c r="Z378" s="48"/>
      <c r="AA378" s="48"/>
      <c r="AB378" s="48"/>
      <c r="AC378" s="48"/>
      <c r="AD378" s="48"/>
      <c r="AE378" s="48"/>
      <c r="AF378" s="48"/>
      <c r="AG378" s="48"/>
      <c r="AH378" s="48"/>
      <c r="AI378" s="48"/>
      <c r="AJ378" s="48"/>
    </row>
    <row r="379" customFormat="false" ht="15" hidden="false" customHeight="false" outlineLevel="0" collapsed="false">
      <c r="A379" s="8"/>
      <c r="B379" s="42"/>
      <c r="C379" s="43"/>
      <c r="D379" s="44"/>
      <c r="E379" s="44"/>
      <c r="F379" s="45"/>
      <c r="G379" s="46"/>
      <c r="H379" s="47"/>
      <c r="I379" s="9"/>
      <c r="J379" s="9"/>
      <c r="K379" s="43"/>
      <c r="L379" s="9"/>
      <c r="M379" s="9"/>
      <c r="N379" s="43"/>
      <c r="O379" s="48"/>
      <c r="P379" s="48"/>
      <c r="Q379" s="48"/>
      <c r="R379" s="48"/>
      <c r="S379" s="48"/>
      <c r="T379" s="48"/>
      <c r="U379" s="48"/>
      <c r="V379" s="48"/>
      <c r="W379" s="48"/>
      <c r="X379" s="48"/>
      <c r="Y379" s="48"/>
      <c r="Z379" s="48"/>
      <c r="AA379" s="48"/>
      <c r="AB379" s="48"/>
      <c r="AC379" s="48"/>
      <c r="AD379" s="48"/>
      <c r="AE379" s="48"/>
      <c r="AF379" s="48"/>
      <c r="AG379" s="48"/>
      <c r="AH379" s="48"/>
      <c r="AI379" s="48"/>
      <c r="AJ379" s="48"/>
    </row>
    <row r="380" customFormat="false" ht="15" hidden="false" customHeight="false" outlineLevel="0" collapsed="false">
      <c r="A380" s="8"/>
      <c r="B380" s="42"/>
      <c r="C380" s="43"/>
      <c r="D380" s="44"/>
      <c r="E380" s="44"/>
      <c r="F380" s="45"/>
      <c r="G380" s="46"/>
      <c r="H380" s="47"/>
      <c r="I380" s="9"/>
      <c r="J380" s="9"/>
      <c r="K380" s="43"/>
      <c r="L380" s="9"/>
      <c r="M380" s="9"/>
      <c r="N380" s="43"/>
      <c r="O380" s="48"/>
      <c r="P380" s="48"/>
      <c r="Q380" s="48"/>
      <c r="R380" s="48"/>
      <c r="S380" s="48"/>
      <c r="T380" s="48"/>
      <c r="U380" s="48"/>
      <c r="V380" s="48"/>
      <c r="W380" s="48"/>
      <c r="X380" s="48"/>
      <c r="Y380" s="48"/>
      <c r="Z380" s="48"/>
      <c r="AA380" s="48"/>
      <c r="AB380" s="48"/>
      <c r="AC380" s="48"/>
      <c r="AD380" s="48"/>
      <c r="AE380" s="48"/>
      <c r="AF380" s="48"/>
      <c r="AG380" s="48"/>
      <c r="AH380" s="48"/>
      <c r="AI380" s="48"/>
      <c r="AJ380" s="48"/>
    </row>
    <row r="381" customFormat="false" ht="15" hidden="false" customHeight="false" outlineLevel="0" collapsed="false">
      <c r="A381" s="8"/>
      <c r="B381" s="42"/>
      <c r="C381" s="43"/>
      <c r="D381" s="44"/>
      <c r="E381" s="44"/>
      <c r="F381" s="45"/>
      <c r="G381" s="46"/>
      <c r="H381" s="47"/>
      <c r="I381" s="9"/>
      <c r="J381" s="9"/>
      <c r="K381" s="43"/>
      <c r="L381" s="9"/>
      <c r="M381" s="9"/>
      <c r="N381" s="43"/>
      <c r="O381" s="48"/>
      <c r="P381" s="48"/>
      <c r="Q381" s="48"/>
      <c r="R381" s="48"/>
      <c r="S381" s="48"/>
      <c r="T381" s="48"/>
      <c r="U381" s="48"/>
      <c r="V381" s="48"/>
      <c r="W381" s="48"/>
      <c r="X381" s="48"/>
      <c r="Y381" s="48"/>
      <c r="Z381" s="48"/>
      <c r="AA381" s="48"/>
      <c r="AB381" s="48"/>
      <c r="AC381" s="48"/>
      <c r="AD381" s="48"/>
      <c r="AE381" s="48"/>
      <c r="AF381" s="48"/>
      <c r="AG381" s="48"/>
      <c r="AH381" s="48"/>
      <c r="AI381" s="48"/>
      <c r="AJ381" s="48"/>
    </row>
    <row r="382" customFormat="false" ht="15" hidden="false" customHeight="false" outlineLevel="0" collapsed="false">
      <c r="A382" s="8"/>
      <c r="B382" s="42"/>
      <c r="C382" s="43"/>
      <c r="D382" s="44"/>
      <c r="E382" s="44"/>
      <c r="F382" s="45"/>
      <c r="G382" s="46"/>
      <c r="H382" s="47"/>
      <c r="I382" s="9"/>
      <c r="J382" s="9"/>
      <c r="K382" s="43"/>
      <c r="L382" s="9"/>
      <c r="M382" s="9"/>
      <c r="N382" s="43"/>
      <c r="O382" s="48"/>
      <c r="P382" s="48"/>
      <c r="Q382" s="48"/>
      <c r="R382" s="48"/>
      <c r="S382" s="48"/>
      <c r="T382" s="48"/>
      <c r="U382" s="48"/>
      <c r="V382" s="48"/>
      <c r="W382" s="48"/>
      <c r="X382" s="48"/>
      <c r="Y382" s="48"/>
      <c r="Z382" s="48"/>
      <c r="AA382" s="48"/>
      <c r="AB382" s="48"/>
      <c r="AC382" s="48"/>
      <c r="AD382" s="48"/>
      <c r="AE382" s="48"/>
      <c r="AF382" s="48"/>
      <c r="AG382" s="48"/>
      <c r="AH382" s="48"/>
      <c r="AI382" s="48"/>
      <c r="AJ382" s="48"/>
    </row>
    <row r="383" customFormat="false" ht="15" hidden="false" customHeight="false" outlineLevel="0" collapsed="false">
      <c r="A383" s="8"/>
      <c r="B383" s="42"/>
      <c r="C383" s="43"/>
      <c r="D383" s="44"/>
      <c r="E383" s="44"/>
      <c r="F383" s="45"/>
      <c r="G383" s="46"/>
      <c r="H383" s="47"/>
      <c r="I383" s="9"/>
      <c r="J383" s="9"/>
      <c r="K383" s="43"/>
      <c r="L383" s="9"/>
      <c r="M383" s="9"/>
      <c r="N383" s="43"/>
      <c r="O383" s="48"/>
      <c r="P383" s="48"/>
      <c r="Q383" s="48"/>
      <c r="R383" s="48"/>
      <c r="S383" s="48"/>
      <c r="T383" s="48"/>
      <c r="U383" s="48"/>
      <c r="V383" s="48"/>
      <c r="W383" s="48"/>
      <c r="X383" s="48"/>
      <c r="Y383" s="48"/>
      <c r="Z383" s="48"/>
      <c r="AA383" s="48"/>
      <c r="AB383" s="48"/>
      <c r="AC383" s="48"/>
      <c r="AD383" s="48"/>
      <c r="AE383" s="48"/>
      <c r="AF383" s="48"/>
      <c r="AG383" s="48"/>
      <c r="AH383" s="48"/>
      <c r="AI383" s="48"/>
      <c r="AJ383" s="48"/>
    </row>
    <row r="384" customFormat="false" ht="15" hidden="false" customHeight="false" outlineLevel="0" collapsed="false">
      <c r="A384" s="8"/>
      <c r="B384" s="42"/>
      <c r="C384" s="43"/>
      <c r="D384" s="44"/>
      <c r="E384" s="44"/>
      <c r="F384" s="45"/>
      <c r="G384" s="46"/>
      <c r="H384" s="47"/>
      <c r="I384" s="9"/>
      <c r="J384" s="9"/>
      <c r="K384" s="43"/>
      <c r="L384" s="9"/>
      <c r="M384" s="9"/>
      <c r="N384" s="43"/>
      <c r="O384" s="48"/>
      <c r="P384" s="48"/>
      <c r="Q384" s="48"/>
      <c r="R384" s="48"/>
      <c r="S384" s="48"/>
      <c r="T384" s="48"/>
      <c r="U384" s="48"/>
      <c r="V384" s="48"/>
      <c r="W384" s="48"/>
      <c r="X384" s="48"/>
      <c r="Y384" s="48"/>
      <c r="Z384" s="48"/>
      <c r="AA384" s="48"/>
      <c r="AB384" s="48"/>
      <c r="AC384" s="48"/>
      <c r="AD384" s="48"/>
      <c r="AE384" s="48"/>
      <c r="AF384" s="48"/>
      <c r="AG384" s="48"/>
      <c r="AH384" s="48"/>
      <c r="AI384" s="48"/>
      <c r="AJ384" s="48"/>
    </row>
    <row r="385" customFormat="false" ht="15" hidden="false" customHeight="false" outlineLevel="0" collapsed="false">
      <c r="A385" s="8"/>
      <c r="B385" s="42"/>
      <c r="C385" s="43"/>
      <c r="D385" s="44"/>
      <c r="E385" s="44"/>
      <c r="F385" s="45"/>
      <c r="G385" s="46"/>
      <c r="H385" s="47"/>
      <c r="I385" s="9"/>
      <c r="J385" s="9"/>
      <c r="K385" s="43"/>
      <c r="L385" s="9"/>
      <c r="M385" s="9"/>
      <c r="N385" s="43"/>
      <c r="O385" s="48"/>
      <c r="P385" s="48"/>
      <c r="Q385" s="48"/>
      <c r="R385" s="48"/>
      <c r="S385" s="48"/>
      <c r="T385" s="48"/>
      <c r="U385" s="48"/>
      <c r="V385" s="48"/>
      <c r="W385" s="48"/>
      <c r="X385" s="48"/>
      <c r="Y385" s="48"/>
      <c r="Z385" s="48"/>
      <c r="AA385" s="48"/>
      <c r="AB385" s="48"/>
      <c r="AC385" s="48"/>
      <c r="AD385" s="48"/>
      <c r="AE385" s="48"/>
      <c r="AF385" s="48"/>
      <c r="AG385" s="48"/>
      <c r="AH385" s="48"/>
      <c r="AI385" s="48"/>
      <c r="AJ385" s="48"/>
    </row>
    <row r="386" customFormat="false" ht="15" hidden="false" customHeight="false" outlineLevel="0" collapsed="false">
      <c r="A386" s="8"/>
      <c r="B386" s="42"/>
      <c r="C386" s="43"/>
      <c r="D386" s="44"/>
      <c r="E386" s="44"/>
      <c r="F386" s="45"/>
      <c r="G386" s="46"/>
      <c r="H386" s="47"/>
      <c r="I386" s="9"/>
      <c r="J386" s="9"/>
      <c r="K386" s="43"/>
      <c r="L386" s="9"/>
      <c r="M386" s="9"/>
      <c r="N386" s="43"/>
      <c r="O386" s="48"/>
      <c r="P386" s="48"/>
      <c r="Q386" s="48"/>
      <c r="R386" s="48"/>
      <c r="S386" s="48"/>
      <c r="T386" s="48"/>
      <c r="U386" s="48"/>
      <c r="V386" s="48"/>
      <c r="W386" s="48"/>
      <c r="X386" s="48"/>
      <c r="Y386" s="48"/>
      <c r="Z386" s="48"/>
      <c r="AA386" s="48"/>
      <c r="AB386" s="48"/>
      <c r="AC386" s="48"/>
      <c r="AD386" s="48"/>
      <c r="AE386" s="48"/>
      <c r="AF386" s="48"/>
      <c r="AG386" s="48"/>
      <c r="AH386" s="48"/>
      <c r="AI386" s="48"/>
      <c r="AJ386" s="48"/>
    </row>
    <row r="387" customFormat="false" ht="15" hidden="false" customHeight="false" outlineLevel="0" collapsed="false">
      <c r="A387" s="8"/>
      <c r="B387" s="42"/>
      <c r="C387" s="43"/>
      <c r="D387" s="44"/>
      <c r="E387" s="44"/>
      <c r="F387" s="45"/>
      <c r="G387" s="46"/>
      <c r="H387" s="47"/>
      <c r="I387" s="9"/>
      <c r="J387" s="9"/>
      <c r="K387" s="43"/>
      <c r="L387" s="9"/>
      <c r="M387" s="9"/>
      <c r="N387" s="43"/>
      <c r="O387" s="48"/>
      <c r="P387" s="48"/>
      <c r="Q387" s="48"/>
      <c r="R387" s="48"/>
      <c r="S387" s="48"/>
      <c r="T387" s="48"/>
      <c r="U387" s="48"/>
      <c r="V387" s="48"/>
      <c r="W387" s="48"/>
      <c r="X387" s="48"/>
      <c r="Y387" s="48"/>
      <c r="Z387" s="48"/>
      <c r="AA387" s="48"/>
      <c r="AB387" s="48"/>
      <c r="AC387" s="48"/>
      <c r="AD387" s="48"/>
      <c r="AE387" s="48"/>
      <c r="AF387" s="48"/>
      <c r="AG387" s="48"/>
      <c r="AH387" s="48"/>
      <c r="AI387" s="48"/>
      <c r="AJ387" s="48"/>
    </row>
    <row r="388" customFormat="false" ht="15" hidden="false" customHeight="false" outlineLevel="0" collapsed="false">
      <c r="A388" s="8"/>
      <c r="B388" s="42"/>
      <c r="C388" s="43"/>
      <c r="D388" s="44"/>
      <c r="E388" s="44"/>
      <c r="F388" s="45"/>
      <c r="G388" s="46"/>
      <c r="H388" s="47"/>
      <c r="I388" s="9"/>
      <c r="J388" s="9"/>
      <c r="K388" s="43"/>
      <c r="L388" s="9"/>
      <c r="M388" s="9"/>
      <c r="N388" s="43"/>
      <c r="O388" s="48"/>
      <c r="P388" s="48"/>
      <c r="Q388" s="48"/>
      <c r="R388" s="48"/>
      <c r="S388" s="48"/>
      <c r="T388" s="48"/>
      <c r="U388" s="48"/>
      <c r="V388" s="48"/>
      <c r="W388" s="48"/>
      <c r="X388" s="48"/>
      <c r="Y388" s="48"/>
      <c r="Z388" s="48"/>
      <c r="AA388" s="48"/>
      <c r="AB388" s="48"/>
      <c r="AC388" s="48"/>
      <c r="AD388" s="48"/>
      <c r="AE388" s="48"/>
      <c r="AF388" s="48"/>
      <c r="AG388" s="48"/>
      <c r="AH388" s="48"/>
      <c r="AI388" s="48"/>
      <c r="AJ388" s="48"/>
    </row>
    <row r="389" customFormat="false" ht="15" hidden="false" customHeight="false" outlineLevel="0" collapsed="false">
      <c r="A389" s="8"/>
      <c r="B389" s="42"/>
      <c r="C389" s="43"/>
      <c r="D389" s="44"/>
      <c r="E389" s="44"/>
      <c r="F389" s="45"/>
      <c r="G389" s="46"/>
      <c r="H389" s="47"/>
      <c r="I389" s="9"/>
      <c r="J389" s="9"/>
      <c r="K389" s="43"/>
      <c r="L389" s="9"/>
      <c r="M389" s="9"/>
      <c r="N389" s="43"/>
      <c r="O389" s="48"/>
      <c r="P389" s="48"/>
      <c r="Q389" s="48"/>
      <c r="R389" s="48"/>
      <c r="S389" s="48"/>
      <c r="T389" s="48"/>
      <c r="U389" s="48"/>
      <c r="V389" s="48"/>
      <c r="W389" s="48"/>
      <c r="X389" s="48"/>
      <c r="Y389" s="48"/>
      <c r="Z389" s="48"/>
      <c r="AA389" s="48"/>
      <c r="AB389" s="48"/>
      <c r="AC389" s="48"/>
      <c r="AD389" s="48"/>
      <c r="AE389" s="48"/>
      <c r="AF389" s="48"/>
      <c r="AG389" s="48"/>
      <c r="AH389" s="48"/>
      <c r="AI389" s="48"/>
      <c r="AJ389" s="48"/>
    </row>
    <row r="390" customFormat="false" ht="15" hidden="false" customHeight="false" outlineLevel="0" collapsed="false">
      <c r="A390" s="8"/>
      <c r="B390" s="42"/>
      <c r="C390" s="43"/>
      <c r="D390" s="44"/>
      <c r="E390" s="44"/>
      <c r="F390" s="45"/>
      <c r="G390" s="46"/>
      <c r="H390" s="47"/>
      <c r="I390" s="9"/>
      <c r="J390" s="9"/>
      <c r="K390" s="43"/>
      <c r="L390" s="9"/>
      <c r="M390" s="9"/>
      <c r="N390" s="43"/>
      <c r="O390" s="48"/>
      <c r="P390" s="48"/>
      <c r="Q390" s="48"/>
      <c r="R390" s="48"/>
      <c r="S390" s="48"/>
      <c r="T390" s="48"/>
      <c r="U390" s="48"/>
      <c r="V390" s="48"/>
      <c r="W390" s="48"/>
      <c r="X390" s="48"/>
      <c r="Y390" s="48"/>
      <c r="Z390" s="48"/>
      <c r="AA390" s="48"/>
      <c r="AB390" s="48"/>
      <c r="AC390" s="48"/>
      <c r="AD390" s="48"/>
      <c r="AE390" s="48"/>
      <c r="AF390" s="48"/>
      <c r="AG390" s="48"/>
      <c r="AH390" s="48"/>
      <c r="AI390" s="48"/>
      <c r="AJ390" s="48"/>
    </row>
    <row r="391" customFormat="false" ht="15" hidden="false" customHeight="false" outlineLevel="0" collapsed="false">
      <c r="A391" s="8"/>
      <c r="B391" s="42"/>
      <c r="C391" s="43"/>
      <c r="D391" s="44"/>
      <c r="E391" s="44"/>
      <c r="F391" s="45"/>
      <c r="G391" s="46"/>
      <c r="H391" s="47"/>
      <c r="I391" s="9"/>
      <c r="J391" s="9"/>
      <c r="K391" s="43"/>
      <c r="L391" s="9"/>
      <c r="M391" s="9"/>
      <c r="N391" s="43"/>
      <c r="O391" s="48"/>
      <c r="P391" s="48"/>
      <c r="Q391" s="48"/>
      <c r="R391" s="48"/>
      <c r="S391" s="48"/>
      <c r="T391" s="48"/>
      <c r="U391" s="48"/>
      <c r="V391" s="48"/>
      <c r="W391" s="48"/>
      <c r="X391" s="48"/>
      <c r="Y391" s="48"/>
      <c r="Z391" s="48"/>
      <c r="AA391" s="48"/>
      <c r="AB391" s="48"/>
      <c r="AC391" s="48"/>
      <c r="AD391" s="48"/>
      <c r="AE391" s="48"/>
      <c r="AF391" s="48"/>
      <c r="AG391" s="48"/>
      <c r="AH391" s="48"/>
      <c r="AI391" s="48"/>
      <c r="AJ391" s="48"/>
    </row>
    <row r="392" customFormat="false" ht="15" hidden="false" customHeight="false" outlineLevel="0" collapsed="false">
      <c r="A392" s="8"/>
      <c r="B392" s="42"/>
      <c r="C392" s="43"/>
      <c r="D392" s="44"/>
      <c r="E392" s="44"/>
      <c r="F392" s="45"/>
      <c r="G392" s="46"/>
      <c r="H392" s="47"/>
      <c r="I392" s="9"/>
      <c r="J392" s="9"/>
      <c r="K392" s="43"/>
      <c r="L392" s="9"/>
      <c r="M392" s="9"/>
      <c r="N392" s="43"/>
      <c r="O392" s="48"/>
      <c r="P392" s="48"/>
      <c r="Q392" s="48"/>
      <c r="R392" s="48"/>
      <c r="S392" s="48"/>
      <c r="T392" s="48"/>
      <c r="U392" s="48"/>
      <c r="V392" s="48"/>
      <c r="W392" s="48"/>
      <c r="X392" s="48"/>
      <c r="Y392" s="48"/>
      <c r="Z392" s="48"/>
      <c r="AA392" s="48"/>
      <c r="AB392" s="48"/>
      <c r="AC392" s="48"/>
      <c r="AD392" s="48"/>
      <c r="AE392" s="48"/>
      <c r="AF392" s="48"/>
      <c r="AG392" s="48"/>
      <c r="AH392" s="48"/>
      <c r="AI392" s="48"/>
      <c r="AJ392" s="48"/>
    </row>
    <row r="393" customFormat="false" ht="15" hidden="false" customHeight="false" outlineLevel="0" collapsed="false">
      <c r="A393" s="8"/>
      <c r="B393" s="42"/>
      <c r="C393" s="43"/>
      <c r="D393" s="44"/>
      <c r="E393" s="44"/>
      <c r="F393" s="45"/>
      <c r="G393" s="46"/>
      <c r="H393" s="47"/>
      <c r="I393" s="9"/>
      <c r="J393" s="9"/>
      <c r="K393" s="43"/>
      <c r="L393" s="9"/>
      <c r="M393" s="9"/>
      <c r="N393" s="43"/>
      <c r="O393" s="48"/>
      <c r="P393" s="48"/>
      <c r="Q393" s="48"/>
      <c r="R393" s="48"/>
      <c r="S393" s="48"/>
      <c r="T393" s="48"/>
      <c r="U393" s="48"/>
      <c r="V393" s="48"/>
      <c r="W393" s="48"/>
      <c r="X393" s="48"/>
      <c r="Y393" s="48"/>
      <c r="Z393" s="48"/>
      <c r="AA393" s="48"/>
      <c r="AB393" s="48"/>
      <c r="AC393" s="48"/>
      <c r="AD393" s="48"/>
      <c r="AE393" s="48"/>
      <c r="AF393" s="48"/>
      <c r="AG393" s="48"/>
      <c r="AH393" s="48"/>
      <c r="AI393" s="48"/>
      <c r="AJ393" s="48"/>
    </row>
    <row r="394" customFormat="false" ht="15" hidden="false" customHeight="false" outlineLevel="0" collapsed="false">
      <c r="A394" s="8"/>
      <c r="B394" s="42"/>
      <c r="C394" s="43"/>
      <c r="D394" s="44"/>
      <c r="E394" s="44"/>
      <c r="F394" s="45"/>
      <c r="G394" s="46"/>
      <c r="H394" s="47"/>
      <c r="I394" s="9"/>
      <c r="J394" s="9"/>
      <c r="K394" s="43"/>
      <c r="L394" s="9"/>
      <c r="M394" s="9"/>
      <c r="N394" s="43"/>
      <c r="O394" s="48"/>
      <c r="P394" s="48"/>
      <c r="Q394" s="48"/>
      <c r="R394" s="48"/>
      <c r="S394" s="48"/>
      <c r="T394" s="48"/>
      <c r="U394" s="48"/>
      <c r="V394" s="48"/>
      <c r="W394" s="48"/>
      <c r="X394" s="48"/>
      <c r="Y394" s="48"/>
      <c r="Z394" s="48"/>
      <c r="AA394" s="48"/>
      <c r="AB394" s="48"/>
      <c r="AC394" s="48"/>
      <c r="AD394" s="48"/>
      <c r="AE394" s="48"/>
      <c r="AF394" s="48"/>
      <c r="AG394" s="48"/>
      <c r="AH394" s="48"/>
      <c r="AI394" s="48"/>
      <c r="AJ394" s="48"/>
    </row>
    <row r="395" customFormat="false" ht="15" hidden="false" customHeight="false" outlineLevel="0" collapsed="false">
      <c r="A395" s="8"/>
      <c r="B395" s="42"/>
      <c r="C395" s="43"/>
      <c r="D395" s="44"/>
      <c r="E395" s="44"/>
      <c r="F395" s="45"/>
      <c r="G395" s="46"/>
      <c r="H395" s="47"/>
      <c r="I395" s="9"/>
      <c r="J395" s="9"/>
      <c r="K395" s="43"/>
      <c r="L395" s="9"/>
      <c r="M395" s="9"/>
      <c r="N395" s="43"/>
      <c r="O395" s="48"/>
      <c r="P395" s="48"/>
      <c r="Q395" s="48"/>
      <c r="R395" s="48"/>
      <c r="S395" s="48"/>
      <c r="T395" s="48"/>
      <c r="U395" s="48"/>
      <c r="V395" s="48"/>
      <c r="W395" s="48"/>
      <c r="X395" s="48"/>
      <c r="Y395" s="48"/>
      <c r="Z395" s="48"/>
      <c r="AA395" s="48"/>
      <c r="AB395" s="48"/>
      <c r="AC395" s="48"/>
      <c r="AD395" s="48"/>
      <c r="AE395" s="48"/>
      <c r="AF395" s="48"/>
      <c r="AG395" s="48"/>
      <c r="AH395" s="48"/>
      <c r="AI395" s="48"/>
      <c r="AJ395" s="48"/>
    </row>
    <row r="396" customFormat="false" ht="15" hidden="false" customHeight="false" outlineLevel="0" collapsed="false">
      <c r="A396" s="8"/>
      <c r="B396" s="42"/>
      <c r="C396" s="43"/>
      <c r="D396" s="44"/>
      <c r="E396" s="44"/>
      <c r="F396" s="45"/>
      <c r="G396" s="46"/>
      <c r="H396" s="47"/>
      <c r="I396" s="9"/>
      <c r="J396" s="9"/>
      <c r="K396" s="43"/>
      <c r="L396" s="9"/>
      <c r="M396" s="9"/>
      <c r="N396" s="43"/>
      <c r="O396" s="48"/>
      <c r="P396" s="48"/>
      <c r="Q396" s="48"/>
      <c r="R396" s="48"/>
      <c r="S396" s="48"/>
      <c r="T396" s="48"/>
      <c r="U396" s="48"/>
      <c r="V396" s="48"/>
      <c r="W396" s="48"/>
      <c r="X396" s="48"/>
      <c r="Y396" s="48"/>
      <c r="Z396" s="48"/>
      <c r="AA396" s="48"/>
      <c r="AB396" s="48"/>
      <c r="AC396" s="48"/>
      <c r="AD396" s="48"/>
      <c r="AE396" s="48"/>
      <c r="AF396" s="48"/>
      <c r="AG396" s="48"/>
      <c r="AH396" s="48"/>
      <c r="AI396" s="48"/>
      <c r="AJ396" s="48"/>
    </row>
    <row r="397" customFormat="false" ht="15" hidden="false" customHeight="false" outlineLevel="0" collapsed="false">
      <c r="A397" s="8"/>
      <c r="B397" s="42"/>
      <c r="C397" s="43"/>
      <c r="D397" s="44"/>
      <c r="E397" s="44"/>
      <c r="F397" s="45"/>
      <c r="G397" s="46"/>
      <c r="H397" s="47"/>
      <c r="I397" s="9"/>
      <c r="J397" s="9"/>
      <c r="K397" s="43"/>
      <c r="L397" s="9"/>
      <c r="M397" s="9"/>
      <c r="N397" s="43"/>
      <c r="O397" s="48"/>
      <c r="P397" s="48"/>
      <c r="Q397" s="48"/>
      <c r="R397" s="48"/>
      <c r="S397" s="48"/>
      <c r="T397" s="48"/>
      <c r="U397" s="48"/>
      <c r="V397" s="48"/>
      <c r="W397" s="48"/>
      <c r="X397" s="48"/>
      <c r="Y397" s="48"/>
      <c r="Z397" s="48"/>
      <c r="AA397" s="48"/>
      <c r="AB397" s="48"/>
      <c r="AC397" s="48"/>
      <c r="AD397" s="48"/>
      <c r="AE397" s="48"/>
      <c r="AF397" s="48"/>
      <c r="AG397" s="48"/>
      <c r="AH397" s="48"/>
      <c r="AI397" s="48"/>
      <c r="AJ397" s="48"/>
    </row>
    <row r="398" customFormat="false" ht="15" hidden="false" customHeight="false" outlineLevel="0" collapsed="false">
      <c r="A398" s="8"/>
      <c r="B398" s="42"/>
      <c r="C398" s="43"/>
      <c r="D398" s="44"/>
      <c r="E398" s="44"/>
      <c r="F398" s="45"/>
      <c r="G398" s="46"/>
      <c r="H398" s="47"/>
      <c r="I398" s="9"/>
      <c r="J398" s="9"/>
      <c r="K398" s="43"/>
      <c r="L398" s="9"/>
      <c r="M398" s="9"/>
      <c r="N398" s="43"/>
      <c r="O398" s="48"/>
      <c r="P398" s="48"/>
      <c r="Q398" s="48"/>
      <c r="R398" s="48"/>
      <c r="S398" s="48"/>
      <c r="T398" s="48"/>
      <c r="U398" s="48"/>
      <c r="V398" s="48"/>
      <c r="W398" s="48"/>
      <c r="X398" s="48"/>
      <c r="Y398" s="48"/>
      <c r="Z398" s="48"/>
      <c r="AA398" s="48"/>
      <c r="AB398" s="48"/>
      <c r="AC398" s="48"/>
      <c r="AD398" s="48"/>
      <c r="AE398" s="48"/>
      <c r="AF398" s="48"/>
      <c r="AG398" s="48"/>
      <c r="AH398" s="48"/>
      <c r="AI398" s="48"/>
      <c r="AJ398" s="48"/>
    </row>
    <row r="399" customFormat="false" ht="15" hidden="false" customHeight="false" outlineLevel="0" collapsed="false">
      <c r="A399" s="8"/>
      <c r="B399" s="42"/>
      <c r="C399" s="43"/>
      <c r="D399" s="44"/>
      <c r="E399" s="44"/>
      <c r="F399" s="45"/>
      <c r="G399" s="46"/>
      <c r="H399" s="47"/>
      <c r="I399" s="9"/>
      <c r="J399" s="9"/>
      <c r="K399" s="43"/>
      <c r="L399" s="9"/>
      <c r="M399" s="9"/>
      <c r="N399" s="43"/>
      <c r="O399" s="48"/>
      <c r="P399" s="48"/>
      <c r="Q399" s="48"/>
      <c r="R399" s="48"/>
      <c r="S399" s="48"/>
      <c r="T399" s="48"/>
      <c r="U399" s="48"/>
      <c r="V399" s="48"/>
      <c r="W399" s="48"/>
      <c r="X399" s="48"/>
      <c r="Y399" s="48"/>
      <c r="Z399" s="48"/>
      <c r="AA399" s="48"/>
      <c r="AB399" s="48"/>
      <c r="AC399" s="48"/>
      <c r="AD399" s="48"/>
      <c r="AE399" s="48"/>
      <c r="AF399" s="48"/>
      <c r="AG399" s="48"/>
      <c r="AH399" s="48"/>
      <c r="AI399" s="48"/>
      <c r="AJ399" s="48"/>
    </row>
    <row r="400" customFormat="false" ht="15" hidden="false" customHeight="false" outlineLevel="0" collapsed="false">
      <c r="A400" s="8"/>
      <c r="B400" s="42"/>
      <c r="C400" s="43"/>
      <c r="D400" s="44"/>
      <c r="E400" s="44"/>
      <c r="F400" s="45"/>
      <c r="G400" s="46"/>
      <c r="H400" s="47"/>
      <c r="I400" s="9"/>
      <c r="J400" s="9"/>
      <c r="K400" s="43"/>
      <c r="L400" s="9"/>
      <c r="M400" s="9"/>
      <c r="N400" s="43"/>
      <c r="O400" s="48"/>
      <c r="P400" s="48"/>
      <c r="Q400" s="48"/>
      <c r="R400" s="48"/>
      <c r="S400" s="48"/>
      <c r="T400" s="48"/>
      <c r="U400" s="48"/>
      <c r="V400" s="48"/>
      <c r="W400" s="48"/>
      <c r="X400" s="48"/>
      <c r="Y400" s="48"/>
      <c r="Z400" s="48"/>
      <c r="AA400" s="48"/>
      <c r="AB400" s="48"/>
      <c r="AC400" s="48"/>
      <c r="AD400" s="48"/>
      <c r="AE400" s="48"/>
      <c r="AF400" s="48"/>
      <c r="AG400" s="48"/>
      <c r="AH400" s="48"/>
      <c r="AI400" s="48"/>
      <c r="AJ400" s="48"/>
    </row>
    <row r="401" customFormat="false" ht="15" hidden="false" customHeight="false" outlineLevel="0" collapsed="false">
      <c r="A401" s="8"/>
      <c r="B401" s="42"/>
      <c r="C401" s="43"/>
      <c r="D401" s="44"/>
      <c r="E401" s="44"/>
      <c r="F401" s="45"/>
      <c r="G401" s="46"/>
      <c r="H401" s="47"/>
      <c r="I401" s="9"/>
      <c r="J401" s="9"/>
      <c r="K401" s="43"/>
      <c r="L401" s="9"/>
      <c r="M401" s="9"/>
      <c r="N401" s="43"/>
      <c r="O401" s="48"/>
      <c r="P401" s="48"/>
      <c r="Q401" s="48"/>
      <c r="R401" s="48"/>
      <c r="S401" s="48"/>
      <c r="T401" s="48"/>
      <c r="U401" s="48"/>
      <c r="V401" s="48"/>
      <c r="W401" s="48"/>
      <c r="X401" s="48"/>
      <c r="Y401" s="48"/>
      <c r="Z401" s="48"/>
      <c r="AA401" s="48"/>
      <c r="AB401" s="48"/>
      <c r="AC401" s="48"/>
      <c r="AD401" s="48"/>
      <c r="AE401" s="48"/>
      <c r="AF401" s="48"/>
      <c r="AG401" s="48"/>
      <c r="AH401" s="48"/>
      <c r="AI401" s="48"/>
      <c r="AJ401" s="48"/>
    </row>
    <row r="402" customFormat="false" ht="15" hidden="false" customHeight="false" outlineLevel="0" collapsed="false">
      <c r="A402" s="8"/>
      <c r="B402" s="42"/>
      <c r="C402" s="43"/>
      <c r="D402" s="44"/>
      <c r="E402" s="44"/>
      <c r="F402" s="45"/>
      <c r="G402" s="46"/>
      <c r="H402" s="47"/>
      <c r="I402" s="9"/>
      <c r="J402" s="9"/>
      <c r="K402" s="43"/>
      <c r="L402" s="9"/>
      <c r="M402" s="9"/>
      <c r="N402" s="43"/>
      <c r="O402" s="48"/>
      <c r="P402" s="48"/>
      <c r="Q402" s="48"/>
      <c r="R402" s="48"/>
      <c r="S402" s="48"/>
      <c r="T402" s="48"/>
      <c r="U402" s="48"/>
      <c r="V402" s="48"/>
      <c r="W402" s="48"/>
      <c r="X402" s="48"/>
      <c r="Y402" s="48"/>
      <c r="Z402" s="48"/>
      <c r="AA402" s="48"/>
      <c r="AB402" s="48"/>
      <c r="AC402" s="48"/>
      <c r="AD402" s="48"/>
      <c r="AE402" s="48"/>
      <c r="AF402" s="48"/>
      <c r="AG402" s="48"/>
      <c r="AH402" s="48"/>
      <c r="AI402" s="48"/>
      <c r="AJ402" s="48"/>
    </row>
    <row r="403" customFormat="false" ht="15" hidden="false" customHeight="false" outlineLevel="0" collapsed="false">
      <c r="A403" s="8"/>
      <c r="B403" s="42"/>
      <c r="C403" s="43"/>
      <c r="D403" s="44"/>
      <c r="E403" s="44"/>
      <c r="F403" s="45"/>
      <c r="G403" s="46"/>
      <c r="H403" s="47"/>
      <c r="I403" s="9"/>
      <c r="J403" s="9"/>
      <c r="K403" s="43"/>
      <c r="L403" s="9"/>
      <c r="M403" s="9"/>
      <c r="N403" s="43"/>
      <c r="O403" s="48"/>
      <c r="P403" s="48"/>
      <c r="Q403" s="48"/>
      <c r="R403" s="48"/>
      <c r="S403" s="48"/>
      <c r="T403" s="48"/>
      <c r="U403" s="48"/>
      <c r="V403" s="48"/>
      <c r="W403" s="48"/>
      <c r="X403" s="48"/>
      <c r="Y403" s="48"/>
      <c r="Z403" s="48"/>
      <c r="AA403" s="48"/>
      <c r="AB403" s="48"/>
      <c r="AC403" s="48"/>
      <c r="AD403" s="48"/>
      <c r="AE403" s="48"/>
      <c r="AF403" s="48"/>
      <c r="AG403" s="48"/>
      <c r="AH403" s="48"/>
      <c r="AI403" s="48"/>
      <c r="AJ403" s="48"/>
    </row>
    <row r="404" customFormat="false" ht="15" hidden="false" customHeight="false" outlineLevel="0" collapsed="false">
      <c r="A404" s="8"/>
      <c r="B404" s="42"/>
      <c r="C404" s="43"/>
      <c r="D404" s="44"/>
      <c r="E404" s="44"/>
      <c r="F404" s="45"/>
      <c r="G404" s="46"/>
      <c r="H404" s="47"/>
      <c r="I404" s="9"/>
      <c r="J404" s="9"/>
      <c r="K404" s="43"/>
      <c r="L404" s="9"/>
      <c r="M404" s="9"/>
      <c r="N404" s="43"/>
      <c r="O404" s="48"/>
      <c r="P404" s="48"/>
      <c r="Q404" s="48"/>
      <c r="R404" s="48"/>
      <c r="S404" s="48"/>
      <c r="T404" s="48"/>
      <c r="U404" s="48"/>
      <c r="V404" s="48"/>
      <c r="W404" s="48"/>
      <c r="X404" s="48"/>
      <c r="Y404" s="48"/>
      <c r="Z404" s="48"/>
      <c r="AA404" s="48"/>
      <c r="AB404" s="48"/>
      <c r="AC404" s="48"/>
      <c r="AD404" s="48"/>
      <c r="AE404" s="48"/>
      <c r="AF404" s="48"/>
      <c r="AG404" s="48"/>
      <c r="AH404" s="48"/>
      <c r="AI404" s="48"/>
      <c r="AJ404" s="48"/>
    </row>
    <row r="405" customFormat="false" ht="15" hidden="false" customHeight="false" outlineLevel="0" collapsed="false">
      <c r="A405" s="8"/>
      <c r="B405" s="42"/>
      <c r="C405" s="43"/>
      <c r="D405" s="44"/>
      <c r="E405" s="44"/>
      <c r="F405" s="45"/>
      <c r="G405" s="46"/>
      <c r="H405" s="47"/>
      <c r="I405" s="9"/>
      <c r="J405" s="9"/>
      <c r="K405" s="43"/>
      <c r="L405" s="9"/>
      <c r="M405" s="9"/>
      <c r="N405" s="43"/>
      <c r="O405" s="48"/>
      <c r="P405" s="48"/>
      <c r="Q405" s="48"/>
      <c r="R405" s="48"/>
      <c r="S405" s="48"/>
      <c r="T405" s="48"/>
      <c r="U405" s="48"/>
      <c r="V405" s="48"/>
      <c r="W405" s="48"/>
      <c r="X405" s="48"/>
      <c r="Y405" s="48"/>
      <c r="Z405" s="48"/>
      <c r="AA405" s="48"/>
      <c r="AB405" s="48"/>
      <c r="AC405" s="48"/>
      <c r="AD405" s="48"/>
      <c r="AE405" s="48"/>
      <c r="AF405" s="48"/>
      <c r="AG405" s="48"/>
      <c r="AH405" s="48"/>
      <c r="AI405" s="48"/>
      <c r="AJ405" s="48"/>
    </row>
    <row r="406" customFormat="false" ht="15" hidden="false" customHeight="false" outlineLevel="0" collapsed="false">
      <c r="A406" s="8"/>
      <c r="B406" s="42"/>
      <c r="C406" s="43"/>
      <c r="D406" s="44"/>
      <c r="E406" s="44"/>
      <c r="F406" s="45"/>
      <c r="G406" s="46"/>
      <c r="H406" s="47"/>
      <c r="I406" s="9"/>
      <c r="J406" s="9"/>
      <c r="K406" s="43"/>
      <c r="L406" s="9"/>
      <c r="M406" s="9"/>
      <c r="N406" s="43"/>
      <c r="O406" s="48"/>
      <c r="P406" s="48"/>
      <c r="Q406" s="48"/>
      <c r="R406" s="48"/>
      <c r="S406" s="48"/>
      <c r="T406" s="48"/>
      <c r="U406" s="48"/>
      <c r="V406" s="48"/>
      <c r="W406" s="48"/>
      <c r="X406" s="48"/>
      <c r="Y406" s="48"/>
      <c r="Z406" s="48"/>
      <c r="AA406" s="48"/>
      <c r="AB406" s="48"/>
      <c r="AC406" s="48"/>
      <c r="AD406" s="48"/>
      <c r="AE406" s="48"/>
      <c r="AF406" s="48"/>
      <c r="AG406" s="48"/>
      <c r="AH406" s="48"/>
      <c r="AI406" s="48"/>
      <c r="AJ406" s="48"/>
    </row>
    <row r="407" customFormat="false" ht="15" hidden="false" customHeight="false" outlineLevel="0" collapsed="false">
      <c r="A407" s="8"/>
      <c r="B407" s="42"/>
      <c r="C407" s="43"/>
      <c r="D407" s="44"/>
      <c r="E407" s="44"/>
      <c r="F407" s="45"/>
      <c r="G407" s="46"/>
      <c r="H407" s="47"/>
      <c r="I407" s="9"/>
      <c r="J407" s="9"/>
      <c r="K407" s="43"/>
      <c r="L407" s="9"/>
      <c r="M407" s="9"/>
      <c r="N407" s="43"/>
      <c r="O407" s="48"/>
      <c r="P407" s="48"/>
      <c r="Q407" s="48"/>
      <c r="R407" s="48"/>
      <c r="S407" s="48"/>
      <c r="T407" s="48"/>
      <c r="U407" s="48"/>
      <c r="V407" s="48"/>
      <c r="W407" s="48"/>
      <c r="X407" s="48"/>
      <c r="Y407" s="48"/>
      <c r="Z407" s="48"/>
      <c r="AA407" s="48"/>
      <c r="AB407" s="48"/>
      <c r="AC407" s="48"/>
      <c r="AD407" s="48"/>
      <c r="AE407" s="48"/>
      <c r="AF407" s="48"/>
      <c r="AG407" s="48"/>
      <c r="AH407" s="48"/>
      <c r="AI407" s="48"/>
      <c r="AJ407" s="48"/>
    </row>
    <row r="408" customFormat="false" ht="15" hidden="false" customHeight="false" outlineLevel="0" collapsed="false">
      <c r="A408" s="8"/>
      <c r="B408" s="42"/>
      <c r="C408" s="43"/>
      <c r="D408" s="44"/>
      <c r="E408" s="44"/>
      <c r="F408" s="45"/>
      <c r="G408" s="46"/>
      <c r="H408" s="47"/>
      <c r="I408" s="9"/>
      <c r="J408" s="9"/>
      <c r="K408" s="43"/>
      <c r="L408" s="9"/>
      <c r="M408" s="9"/>
      <c r="N408" s="43"/>
      <c r="O408" s="48"/>
      <c r="P408" s="48"/>
      <c r="Q408" s="48"/>
      <c r="R408" s="48"/>
      <c r="S408" s="48"/>
      <c r="T408" s="48"/>
      <c r="U408" s="48"/>
      <c r="V408" s="48"/>
      <c r="W408" s="48"/>
      <c r="X408" s="48"/>
      <c r="Y408" s="48"/>
      <c r="Z408" s="48"/>
      <c r="AA408" s="48"/>
      <c r="AB408" s="48"/>
      <c r="AC408" s="48"/>
      <c r="AD408" s="48"/>
      <c r="AE408" s="48"/>
      <c r="AF408" s="48"/>
      <c r="AG408" s="48"/>
      <c r="AH408" s="48"/>
      <c r="AI408" s="48"/>
      <c r="AJ408" s="48"/>
    </row>
    <row r="409" customFormat="false" ht="15" hidden="false" customHeight="false" outlineLevel="0" collapsed="false">
      <c r="A409" s="8"/>
      <c r="B409" s="42"/>
      <c r="C409" s="43"/>
      <c r="D409" s="44"/>
      <c r="E409" s="44"/>
      <c r="F409" s="45"/>
      <c r="G409" s="46"/>
      <c r="H409" s="47"/>
      <c r="I409" s="9"/>
      <c r="J409" s="9"/>
      <c r="K409" s="43"/>
      <c r="L409" s="9"/>
      <c r="M409" s="9"/>
      <c r="N409" s="43"/>
      <c r="O409" s="48"/>
      <c r="P409" s="48"/>
      <c r="Q409" s="48"/>
      <c r="R409" s="48"/>
      <c r="S409" s="48"/>
      <c r="T409" s="48"/>
      <c r="U409" s="48"/>
      <c r="V409" s="48"/>
      <c r="W409" s="48"/>
      <c r="X409" s="48"/>
      <c r="Y409" s="48"/>
      <c r="Z409" s="48"/>
      <c r="AA409" s="48"/>
      <c r="AB409" s="48"/>
      <c r="AC409" s="48"/>
      <c r="AD409" s="48"/>
      <c r="AE409" s="48"/>
      <c r="AF409" s="48"/>
      <c r="AG409" s="48"/>
      <c r="AH409" s="48"/>
      <c r="AI409" s="48"/>
      <c r="AJ409" s="4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2514E"/>
    <pageSetUpPr fitToPage="false"/>
  </sheetPr>
  <dimension ref="A1:AM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2"/>
    <col collapsed="false" customWidth="true" hidden="false" outlineLevel="0" max="12" min="3" style="0" width="14"/>
    <col collapsed="false" customWidth="true" hidden="false" outlineLevel="0" max="13" min="13" style="0" width="22"/>
    <col collapsed="false" customWidth="true" hidden="false" outlineLevel="0" max="15" min="14" style="0" width="14"/>
    <col collapsed="false" customWidth="true" hidden="false" outlineLevel="0" max="16" min="16" style="0" width="22"/>
    <col collapsed="false" customWidth="true" hidden="false" outlineLevel="0" max="39" min="17" style="0" width="14"/>
  </cols>
  <sheetData>
    <row r="1" customFormat="false" ht="17.35" hidden="false" customHeight="false" outlineLevel="0" collapsed="false">
      <c r="A1" s="29" t="s">
        <v>91</v>
      </c>
    </row>
    <row r="2" customFormat="false" ht="15" hidden="false" customHeight="false" outlineLevel="0" collapsed="false">
      <c r="A2" s="30" t="s">
        <v>92</v>
      </c>
    </row>
    <row r="5" customFormat="false" ht="42" hidden="false" customHeight="true" outlineLevel="0" collapsed="false">
      <c r="A5" s="17" t="s">
        <v>93</v>
      </c>
      <c r="B5" s="17" t="s">
        <v>94</v>
      </c>
      <c r="C5" s="17" t="s">
        <v>55</v>
      </c>
      <c r="D5" s="17" t="s">
        <v>56</v>
      </c>
      <c r="E5" s="17" t="s">
        <v>57</v>
      </c>
      <c r="F5" s="17" t="s">
        <v>15</v>
      </c>
      <c r="G5" s="17" t="s">
        <v>16</v>
      </c>
      <c r="H5" s="17" t="s">
        <v>58</v>
      </c>
      <c r="I5" s="17" t="s">
        <v>59</v>
      </c>
      <c r="J5" s="17" t="s">
        <v>60</v>
      </c>
      <c r="K5" s="17" t="s">
        <v>61</v>
      </c>
      <c r="L5" s="17" t="s">
        <v>62</v>
      </c>
      <c r="M5" s="17" t="s">
        <v>63</v>
      </c>
      <c r="N5" s="17" t="s">
        <v>64</v>
      </c>
      <c r="O5" s="17" t="s">
        <v>65</v>
      </c>
      <c r="P5" s="17" t="s">
        <v>66</v>
      </c>
      <c r="Q5" s="17" t="s">
        <v>67</v>
      </c>
      <c r="R5" s="17" t="s">
        <v>68</v>
      </c>
      <c r="S5" s="17" t="s">
        <v>69</v>
      </c>
      <c r="T5" s="17" t="s">
        <v>70</v>
      </c>
      <c r="U5" s="17" t="s">
        <v>71</v>
      </c>
      <c r="V5" s="17" t="s">
        <v>72</v>
      </c>
      <c r="W5" s="17" t="s">
        <v>73</v>
      </c>
      <c r="X5" s="17" t="s">
        <v>74</v>
      </c>
      <c r="Y5" s="17" t="s">
        <v>75</v>
      </c>
      <c r="Z5" s="17" t="s">
        <v>76</v>
      </c>
      <c r="AA5" s="17" t="s">
        <v>77</v>
      </c>
      <c r="AB5" s="17" t="s">
        <v>78</v>
      </c>
      <c r="AC5" s="17" t="s">
        <v>79</v>
      </c>
      <c r="AD5" s="17" t="s">
        <v>80</v>
      </c>
      <c r="AE5" s="17" t="s">
        <v>81</v>
      </c>
      <c r="AF5" s="17" t="s">
        <v>82</v>
      </c>
      <c r="AG5" s="17" t="s">
        <v>83</v>
      </c>
      <c r="AH5" s="17" t="s">
        <v>84</v>
      </c>
      <c r="AI5" s="17" t="s">
        <v>85</v>
      </c>
      <c r="AJ5" s="17" t="s">
        <v>86</v>
      </c>
      <c r="AK5" s="17" t="s">
        <v>87</v>
      </c>
      <c r="AL5" s="17" t="s">
        <v>88</v>
      </c>
      <c r="AM5" s="17" t="s">
        <v>95</v>
      </c>
    </row>
    <row r="6" customFormat="false" ht="15" hidden="false" customHeight="false" outlineLevel="0" collapsed="false">
      <c r="A6" s="49" t="n">
        <f aca="false">'Schedule Logic'!$C$3+MOD(5-WEEKDAY('Schedule Logic'!$C$3,2),7)</f>
        <v>46304</v>
      </c>
      <c r="B6" s="50" t="n">
        <f aca="false">IF(SUM('Schedule Logic'!$R$6:$R$166)=0,0,SUMPRODUCT('Schedule Logic'!$R$6:$R$166,(A6&gt;='Schedule Logic'!$T$6:$T$166)+(A6&gt;='Schedule Logic'!$S$6:$S$166)*(A6&lt;'Schedule Logic'!$T$6:$T$166)*(A6-'Schedule Logic'!$S$6:$S$166+1)/('Schedule Logic'!$T$6:$T$166-'Schedule Logic'!$S$6:$S$166+1))/SUM('Schedule Logic'!$R$6:$R$166))</f>
        <v>0.0299579051951787</v>
      </c>
      <c r="C6" s="8"/>
      <c r="D6" s="42"/>
      <c r="E6" s="43"/>
      <c r="F6" s="44"/>
      <c r="G6" s="44"/>
      <c r="H6" s="45"/>
      <c r="I6" s="46"/>
      <c r="J6" s="47"/>
      <c r="K6" s="9"/>
      <c r="L6" s="9"/>
      <c r="M6" s="43"/>
      <c r="N6" s="9"/>
      <c r="O6" s="9"/>
      <c r="P6" s="43"/>
      <c r="Q6" s="48"/>
      <c r="R6" s="48"/>
      <c r="S6" s="48"/>
      <c r="T6" s="48"/>
      <c r="U6" s="48"/>
      <c r="V6" s="48"/>
      <c r="W6" s="48"/>
      <c r="X6" s="48"/>
      <c r="Y6" s="48"/>
      <c r="Z6" s="48"/>
      <c r="AA6" s="48"/>
      <c r="AB6" s="48"/>
      <c r="AC6" s="48"/>
      <c r="AD6" s="48"/>
      <c r="AE6" s="48"/>
      <c r="AF6" s="48"/>
      <c r="AG6" s="48"/>
      <c r="AH6" s="48"/>
      <c r="AI6" s="48"/>
      <c r="AJ6" s="48"/>
      <c r="AK6" s="48"/>
      <c r="AL6" s="48"/>
      <c r="AM6" s="51"/>
    </row>
    <row r="7" customFormat="false" ht="15" hidden="false" customHeight="false" outlineLevel="0" collapsed="false">
      <c r="A7" s="49" t="n">
        <f aca="false">A6+7</f>
        <v>46311</v>
      </c>
      <c r="B7" s="50" t="n">
        <f aca="false">IF(SUM('Schedule Logic'!$R$6:$R$166)=0,0,SUMPRODUCT('Schedule Logic'!$R$6:$R$166,(A7&gt;='Schedule Logic'!$T$6:$T$166)+(A7&gt;='Schedule Logic'!$S$6:$S$166)*(A7&lt;'Schedule Logic'!$T$6:$T$166)*(A7-'Schedule Logic'!$S$6:$S$166+1)/('Schedule Logic'!$T$6:$T$166-'Schedule Logic'!$S$6:$S$166+1))/SUM('Schedule Logic'!$R$6:$R$166))</f>
        <v>0.0789081496587968</v>
      </c>
      <c r="C7" s="8"/>
      <c r="D7" s="42"/>
      <c r="E7" s="43"/>
      <c r="F7" s="44"/>
      <c r="G7" s="44"/>
      <c r="H7" s="45"/>
      <c r="I7" s="46"/>
      <c r="J7" s="47"/>
      <c r="K7" s="9"/>
      <c r="L7" s="9"/>
      <c r="M7" s="43"/>
      <c r="N7" s="9"/>
      <c r="O7" s="9"/>
      <c r="P7" s="43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51"/>
    </row>
    <row r="8" customFormat="false" ht="15" hidden="false" customHeight="false" outlineLevel="0" collapsed="false">
      <c r="A8" s="49" t="n">
        <f aca="false">A7+7</f>
        <v>46318</v>
      </c>
      <c r="B8" s="50" t="n">
        <f aca="false">IF(SUM('Schedule Logic'!$R$6:$R$166)=0,0,SUMPRODUCT('Schedule Logic'!$R$6:$R$166,(A8&gt;='Schedule Logic'!$T$6:$T$166)+(A8&gt;='Schedule Logic'!$S$6:$S$166)*(A8&lt;'Schedule Logic'!$T$6:$T$166)*(A8-'Schedule Logic'!$S$6:$S$166+1)/('Schedule Logic'!$T$6:$T$166-'Schedule Logic'!$S$6:$S$166+1))/SUM('Schedule Logic'!$R$6:$R$166))</f>
        <v>0.101855483218727</v>
      </c>
      <c r="C8" s="8"/>
      <c r="D8" s="42"/>
      <c r="E8" s="43"/>
      <c r="F8" s="44"/>
      <c r="G8" s="44"/>
      <c r="H8" s="45"/>
      <c r="I8" s="46"/>
      <c r="J8" s="47"/>
      <c r="K8" s="9"/>
      <c r="L8" s="9"/>
      <c r="M8" s="43"/>
      <c r="N8" s="9"/>
      <c r="O8" s="9"/>
      <c r="P8" s="43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51"/>
    </row>
    <row r="9" customFormat="false" ht="15" hidden="false" customHeight="false" outlineLevel="0" collapsed="false">
      <c r="A9" s="49" t="n">
        <f aca="false">A8+7</f>
        <v>46325</v>
      </c>
      <c r="B9" s="50" t="n">
        <f aca="false">IF(SUM('Schedule Logic'!$R$6:$R$166)=0,0,SUMPRODUCT('Schedule Logic'!$R$6:$R$166,(A9&gt;='Schedule Logic'!$T$6:$T$166)+(A9&gt;='Schedule Logic'!$S$6:$S$166)*(A9&lt;'Schedule Logic'!$T$6:$T$166)*(A9-'Schedule Logic'!$S$6:$S$166+1)/('Schedule Logic'!$T$6:$T$166-'Schedule Logic'!$S$6:$S$166+1))/SUM('Schedule Logic'!$R$6:$R$166))</f>
        <v>0.122421366381677</v>
      </c>
      <c r="C9" s="8"/>
      <c r="D9" s="42"/>
      <c r="E9" s="43"/>
      <c r="F9" s="44"/>
      <c r="G9" s="44"/>
      <c r="H9" s="45"/>
      <c r="I9" s="46"/>
      <c r="J9" s="47"/>
      <c r="K9" s="9"/>
      <c r="L9" s="9"/>
      <c r="M9" s="43"/>
      <c r="N9" s="9"/>
      <c r="O9" s="9"/>
      <c r="P9" s="43"/>
      <c r="Q9" s="48"/>
      <c r="R9" s="48"/>
      <c r="S9" s="48"/>
      <c r="T9" s="48"/>
      <c r="U9" s="48"/>
      <c r="V9" s="48"/>
      <c r="W9" s="48"/>
      <c r="X9" s="48"/>
      <c r="Y9" s="48"/>
      <c r="Z9" s="48"/>
      <c r="AA9" s="48"/>
      <c r="AB9" s="48"/>
      <c r="AC9" s="48"/>
      <c r="AD9" s="48"/>
      <c r="AE9" s="48"/>
      <c r="AF9" s="48"/>
      <c r="AG9" s="48"/>
      <c r="AH9" s="48"/>
      <c r="AI9" s="48"/>
      <c r="AJ9" s="48"/>
      <c r="AK9" s="48"/>
      <c r="AL9" s="48"/>
      <c r="AM9" s="51"/>
    </row>
    <row r="10" customFormat="false" ht="15" hidden="false" customHeight="false" outlineLevel="0" collapsed="false">
      <c r="A10" s="49" t="n">
        <f aca="false">A9+7</f>
        <v>46332</v>
      </c>
      <c r="B10" s="50" t="n">
        <f aca="false">IF(SUM('Schedule Logic'!$R$6:$R$166)=0,0,SUMPRODUCT('Schedule Logic'!$R$6:$R$166,(A10&gt;='Schedule Logic'!$T$6:$T$166)+(A10&gt;='Schedule Logic'!$S$6:$S$166)*(A10&lt;'Schedule Logic'!$T$6:$T$166)*(A10-'Schedule Logic'!$S$6:$S$166+1)/('Schedule Logic'!$T$6:$T$166-'Schedule Logic'!$S$6:$S$166+1))/SUM('Schedule Logic'!$R$6:$R$166))</f>
        <v>0.136062959186341</v>
      </c>
      <c r="C10" s="8"/>
      <c r="D10" s="42"/>
      <c r="E10" s="43"/>
      <c r="F10" s="44"/>
      <c r="G10" s="44"/>
      <c r="H10" s="45"/>
      <c r="I10" s="46"/>
      <c r="J10" s="47"/>
      <c r="K10" s="9"/>
      <c r="L10" s="9"/>
      <c r="M10" s="43"/>
      <c r="N10" s="9"/>
      <c r="O10" s="9"/>
      <c r="P10" s="43"/>
      <c r="Q10" s="48"/>
      <c r="R10" s="48"/>
      <c r="S10" s="48"/>
      <c r="T10" s="48"/>
      <c r="U10" s="48"/>
      <c r="V10" s="48"/>
      <c r="W10" s="48"/>
      <c r="X10" s="48"/>
      <c r="Y10" s="48"/>
      <c r="Z10" s="48"/>
      <c r="AA10" s="48"/>
      <c r="AB10" s="48"/>
      <c r="AC10" s="48"/>
      <c r="AD10" s="48"/>
      <c r="AE10" s="48"/>
      <c r="AF10" s="48"/>
      <c r="AG10" s="48"/>
      <c r="AH10" s="48"/>
      <c r="AI10" s="48"/>
      <c r="AJ10" s="48"/>
      <c r="AK10" s="48"/>
      <c r="AL10" s="48"/>
      <c r="AM10" s="51"/>
    </row>
    <row r="11" customFormat="false" ht="15" hidden="false" customHeight="false" outlineLevel="0" collapsed="false">
      <c r="A11" s="49" t="n">
        <f aca="false">A10+7</f>
        <v>46339</v>
      </c>
      <c r="B11" s="50" t="n">
        <f aca="false">IF(SUM('Schedule Logic'!$R$6:$R$166)=0,0,SUMPRODUCT('Schedule Logic'!$R$6:$R$166,(A11&gt;='Schedule Logic'!$T$6:$T$166)+(A11&gt;='Schedule Logic'!$S$6:$S$166)*(A11&lt;'Schedule Logic'!$T$6:$T$166)*(A11-'Schedule Logic'!$S$6:$S$166+1)/('Schedule Logic'!$T$6:$T$166-'Schedule Logic'!$S$6:$S$166+1))/SUM('Schedule Logic'!$R$6:$R$166))</f>
        <v>0.183375820325777</v>
      </c>
      <c r="C11" s="8"/>
      <c r="D11" s="42"/>
      <c r="E11" s="43"/>
      <c r="F11" s="44"/>
      <c r="G11" s="44"/>
      <c r="H11" s="45"/>
      <c r="I11" s="46"/>
      <c r="J11" s="47"/>
      <c r="K11" s="9"/>
      <c r="L11" s="9"/>
      <c r="M11" s="43"/>
      <c r="N11" s="9"/>
      <c r="O11" s="9"/>
      <c r="P11" s="43"/>
      <c r="Q11" s="48"/>
      <c r="R11" s="48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51"/>
    </row>
    <row r="12" customFormat="false" ht="15" hidden="false" customHeight="false" outlineLevel="0" collapsed="false">
      <c r="A12" s="49" t="n">
        <f aca="false">A11+7</f>
        <v>46346</v>
      </c>
      <c r="B12" s="50" t="n">
        <f aca="false">IF(SUM('Schedule Logic'!$R$6:$R$166)=0,0,SUMPRODUCT('Schedule Logic'!$R$6:$R$166,(A12&gt;='Schedule Logic'!$T$6:$T$166)+(A12&gt;='Schedule Logic'!$S$6:$S$166)*(A12&lt;'Schedule Logic'!$T$6:$T$166)*(A12-'Schedule Logic'!$S$6:$S$166+1)/('Schedule Logic'!$T$6:$T$166-'Schedule Logic'!$S$6:$S$166+1))/SUM('Schedule Logic'!$R$6:$R$166))</f>
        <v>0.206070715785988</v>
      </c>
      <c r="C12" s="8"/>
      <c r="D12" s="42"/>
      <c r="E12" s="43"/>
      <c r="F12" s="44"/>
      <c r="G12" s="44"/>
      <c r="H12" s="45"/>
      <c r="I12" s="46"/>
      <c r="J12" s="47"/>
      <c r="K12" s="9"/>
      <c r="L12" s="9"/>
      <c r="M12" s="43"/>
      <c r="N12" s="9"/>
      <c r="O12" s="9"/>
      <c r="P12" s="43"/>
      <c r="Q12" s="48"/>
      <c r="R12" s="48"/>
      <c r="S12" s="48"/>
      <c r="T12" s="48"/>
      <c r="U12" s="48"/>
      <c r="V12" s="48"/>
      <c r="W12" s="48"/>
      <c r="X12" s="48"/>
      <c r="Y12" s="48"/>
      <c r="Z12" s="48"/>
      <c r="AA12" s="48"/>
      <c r="AB12" s="48"/>
      <c r="AC12" s="48"/>
      <c r="AD12" s="48"/>
      <c r="AE12" s="48"/>
      <c r="AF12" s="48"/>
      <c r="AG12" s="48"/>
      <c r="AH12" s="48"/>
      <c r="AI12" s="48"/>
      <c r="AJ12" s="48"/>
      <c r="AK12" s="48"/>
      <c r="AL12" s="48"/>
      <c r="AM12" s="51"/>
    </row>
    <row r="13" customFormat="false" ht="15" hidden="false" customHeight="false" outlineLevel="0" collapsed="false">
      <c r="A13" s="49" t="n">
        <f aca="false">A12+7</f>
        <v>46353</v>
      </c>
      <c r="B13" s="50" t="n">
        <f aca="false">IF(SUM('Schedule Logic'!$R$6:$R$166)=0,0,SUMPRODUCT('Schedule Logic'!$R$6:$R$166,(A13&gt;='Schedule Logic'!$T$6:$T$166)+(A13&gt;='Schedule Logic'!$S$6:$S$166)*(A13&lt;'Schedule Logic'!$T$6:$T$166)*(A13-'Schedule Logic'!$S$6:$S$166+1)/('Schedule Logic'!$T$6:$T$166-'Schedule Logic'!$S$6:$S$166+1))/SUM('Schedule Logic'!$R$6:$R$166))</f>
        <v>0.212117987467427</v>
      </c>
      <c r="C13" s="8"/>
      <c r="D13" s="42"/>
      <c r="E13" s="43"/>
      <c r="F13" s="44"/>
      <c r="G13" s="44"/>
      <c r="H13" s="45"/>
      <c r="I13" s="46"/>
      <c r="J13" s="47"/>
      <c r="K13" s="9"/>
      <c r="L13" s="9"/>
      <c r="M13" s="43"/>
      <c r="N13" s="9"/>
      <c r="O13" s="9"/>
      <c r="P13" s="43"/>
      <c r="Q13" s="48"/>
      <c r="R13" s="48"/>
      <c r="S13" s="48"/>
      <c r="T13" s="48"/>
      <c r="U13" s="48"/>
      <c r="V13" s="48"/>
      <c r="W13" s="48"/>
      <c r="X13" s="48"/>
      <c r="Y13" s="48"/>
      <c r="Z13" s="48"/>
      <c r="AA13" s="48"/>
      <c r="AB13" s="48"/>
      <c r="AC13" s="48"/>
      <c r="AD13" s="48"/>
      <c r="AE13" s="48"/>
      <c r="AF13" s="48"/>
      <c r="AG13" s="48"/>
      <c r="AH13" s="48"/>
      <c r="AI13" s="48"/>
      <c r="AJ13" s="48"/>
      <c r="AK13" s="48"/>
      <c r="AL13" s="48"/>
      <c r="AM13" s="51"/>
    </row>
    <row r="14" customFormat="false" ht="15" hidden="false" customHeight="false" outlineLevel="0" collapsed="false">
      <c r="A14" s="49" t="n">
        <f aca="false">A13+7</f>
        <v>46360</v>
      </c>
      <c r="B14" s="50" t="n">
        <f aca="false">IF(SUM('Schedule Logic'!$R$6:$R$166)=0,0,SUMPRODUCT('Schedule Logic'!$R$6:$R$166,(A14&gt;='Schedule Logic'!$T$6:$T$166)+(A14&gt;='Schedule Logic'!$S$6:$S$166)*(A14&lt;'Schedule Logic'!$T$6:$T$166)*(A14-'Schedule Logic'!$S$6:$S$166+1)/('Schedule Logic'!$T$6:$T$166-'Schedule Logic'!$S$6:$S$166+1))/SUM('Schedule Logic'!$R$6:$R$166))</f>
        <v>0.217957088448892</v>
      </c>
      <c r="C14" s="8"/>
      <c r="D14" s="42"/>
      <c r="E14" s="43"/>
      <c r="F14" s="44"/>
      <c r="G14" s="44"/>
      <c r="H14" s="45"/>
      <c r="I14" s="46"/>
      <c r="J14" s="47"/>
      <c r="K14" s="9"/>
      <c r="L14" s="9"/>
      <c r="M14" s="43"/>
      <c r="N14" s="9"/>
      <c r="O14" s="9"/>
      <c r="P14" s="43"/>
      <c r="Q14" s="48"/>
      <c r="R14" s="48"/>
      <c r="S14" s="48"/>
      <c r="T14" s="48"/>
      <c r="U14" s="48"/>
      <c r="V14" s="48"/>
      <c r="W14" s="48"/>
      <c r="X14" s="48"/>
      <c r="Y14" s="48"/>
      <c r="Z14" s="48"/>
      <c r="AA14" s="48"/>
      <c r="AB14" s="48"/>
      <c r="AC14" s="48"/>
      <c r="AD14" s="48"/>
      <c r="AE14" s="48"/>
      <c r="AF14" s="48"/>
      <c r="AG14" s="48"/>
      <c r="AH14" s="48"/>
      <c r="AI14" s="48"/>
      <c r="AJ14" s="48"/>
      <c r="AK14" s="48"/>
      <c r="AL14" s="48"/>
      <c r="AM14" s="51"/>
    </row>
    <row r="15" customFormat="false" ht="15" hidden="false" customHeight="false" outlineLevel="0" collapsed="false">
      <c r="A15" s="49" t="n">
        <f aca="false">A14+7</f>
        <v>46367</v>
      </c>
      <c r="B15" s="50" t="n">
        <f aca="false">IF(SUM('Schedule Logic'!$R$6:$R$166)=0,0,SUMPRODUCT('Schedule Logic'!$R$6:$R$166,(A15&gt;='Schedule Logic'!$T$6:$T$166)+(A15&gt;='Schedule Logic'!$S$6:$S$166)*(A15&lt;'Schedule Logic'!$T$6:$T$166)*(A15-'Schedule Logic'!$S$6:$S$166+1)/('Schedule Logic'!$T$6:$T$166-'Schedule Logic'!$S$6:$S$166+1))/SUM('Schedule Logic'!$R$6:$R$166))</f>
        <v>0.223938123998521</v>
      </c>
      <c r="C15" s="8"/>
      <c r="D15" s="42"/>
      <c r="E15" s="43"/>
      <c r="F15" s="44"/>
      <c r="G15" s="44"/>
      <c r="H15" s="45"/>
      <c r="I15" s="46"/>
      <c r="J15" s="47"/>
      <c r="K15" s="9"/>
      <c r="L15" s="9"/>
      <c r="M15" s="43"/>
      <c r="N15" s="9"/>
      <c r="O15" s="9"/>
      <c r="P15" s="43"/>
      <c r="Q15" s="48"/>
      <c r="R15" s="48"/>
      <c r="S15" s="48"/>
      <c r="T15" s="48"/>
      <c r="U15" s="48"/>
      <c r="V15" s="48"/>
      <c r="W15" s="48"/>
      <c r="X15" s="48"/>
      <c r="Y15" s="48"/>
      <c r="Z15" s="48"/>
      <c r="AA15" s="48"/>
      <c r="AB15" s="48"/>
      <c r="AC15" s="48"/>
      <c r="AD15" s="48"/>
      <c r="AE15" s="48"/>
      <c r="AF15" s="48"/>
      <c r="AG15" s="48"/>
      <c r="AH15" s="48"/>
      <c r="AI15" s="48"/>
      <c r="AJ15" s="48"/>
      <c r="AK15" s="48"/>
      <c r="AL15" s="48"/>
      <c r="AM15" s="51"/>
    </row>
    <row r="16" customFormat="false" ht="15" hidden="false" customHeight="false" outlineLevel="0" collapsed="false">
      <c r="A16" s="49" t="n">
        <f aca="false">A15+7</f>
        <v>46374</v>
      </c>
      <c r="B16" s="50" t="n">
        <f aca="false">IF(SUM('Schedule Logic'!$R$6:$R$166)=0,0,SUMPRODUCT('Schedule Logic'!$R$6:$R$166,(A16&gt;='Schedule Logic'!$T$6:$T$166)+(A16&gt;='Schedule Logic'!$S$6:$S$166)*(A16&lt;'Schedule Logic'!$T$6:$T$166)*(A16-'Schedule Logic'!$S$6:$S$166+1)/('Schedule Logic'!$T$6:$T$166-'Schedule Logic'!$S$6:$S$166+1))/SUM('Schedule Logic'!$R$6:$R$166))</f>
        <v>0.273319911801361</v>
      </c>
      <c r="C16" s="8"/>
      <c r="D16" s="42"/>
      <c r="E16" s="43"/>
      <c r="F16" s="44"/>
      <c r="G16" s="44"/>
      <c r="H16" s="45"/>
      <c r="I16" s="46"/>
      <c r="J16" s="47"/>
      <c r="K16" s="9"/>
      <c r="L16" s="9"/>
      <c r="M16" s="43"/>
      <c r="N16" s="9"/>
      <c r="O16" s="9"/>
      <c r="P16" s="43"/>
      <c r="Q16" s="48"/>
      <c r="R16" s="48"/>
      <c r="S16" s="48"/>
      <c r="T16" s="48"/>
      <c r="U16" s="48"/>
      <c r="V16" s="48"/>
      <c r="W16" s="48"/>
      <c r="X16" s="48"/>
      <c r="Y16" s="48"/>
      <c r="Z16" s="48"/>
      <c r="AA16" s="48"/>
      <c r="AB16" s="48"/>
      <c r="AC16" s="48"/>
      <c r="AD16" s="48"/>
      <c r="AE16" s="48"/>
      <c r="AF16" s="48"/>
      <c r="AG16" s="48"/>
      <c r="AH16" s="48"/>
      <c r="AI16" s="48"/>
      <c r="AJ16" s="48"/>
      <c r="AK16" s="48"/>
      <c r="AL16" s="48"/>
      <c r="AM16" s="51"/>
    </row>
    <row r="17" customFormat="false" ht="15" hidden="false" customHeight="false" outlineLevel="0" collapsed="false">
      <c r="A17" s="49" t="n">
        <f aca="false">A16+7</f>
        <v>46381</v>
      </c>
      <c r="B17" s="50" t="n">
        <f aca="false">IF(SUM('Schedule Logic'!$R$6:$R$166)=0,0,SUMPRODUCT('Schedule Logic'!$R$6:$R$166,(A17&gt;='Schedule Logic'!$T$6:$T$166)+(A17&gt;='Schedule Logic'!$S$6:$S$166)*(A17&lt;'Schedule Logic'!$T$6:$T$166)*(A17-'Schedule Logic'!$S$6:$S$166+1)/('Schedule Logic'!$T$6:$T$166-'Schedule Logic'!$S$6:$S$166+1))/SUM('Schedule Logic'!$R$6:$R$166))</f>
        <v>0.322376860215375</v>
      </c>
      <c r="C17" s="8"/>
      <c r="D17" s="42"/>
      <c r="E17" s="43"/>
      <c r="F17" s="44"/>
      <c r="G17" s="44"/>
      <c r="H17" s="45"/>
      <c r="I17" s="46"/>
      <c r="J17" s="47"/>
      <c r="K17" s="9"/>
      <c r="L17" s="9"/>
      <c r="M17" s="43"/>
      <c r="N17" s="9"/>
      <c r="O17" s="9"/>
      <c r="P17" s="43"/>
      <c r="Q17" s="48"/>
      <c r="R17" s="48"/>
      <c r="S17" s="48"/>
      <c r="T17" s="48"/>
      <c r="U17" s="48"/>
      <c r="V17" s="48"/>
      <c r="W17" s="48"/>
      <c r="X17" s="48"/>
      <c r="Y17" s="48"/>
      <c r="Z17" s="48"/>
      <c r="AA17" s="48"/>
      <c r="AB17" s="48"/>
      <c r="AC17" s="48"/>
      <c r="AD17" s="48"/>
      <c r="AE17" s="48"/>
      <c r="AF17" s="48"/>
      <c r="AG17" s="48"/>
      <c r="AH17" s="48"/>
      <c r="AI17" s="48"/>
      <c r="AJ17" s="48"/>
      <c r="AK17" s="48"/>
      <c r="AL17" s="48"/>
      <c r="AM17" s="51"/>
    </row>
    <row r="18" customFormat="false" ht="15" hidden="false" customHeight="false" outlineLevel="0" collapsed="false">
      <c r="A18" s="49" t="n">
        <f aca="false">A17+7</f>
        <v>46388</v>
      </c>
      <c r="B18" s="50" t="n">
        <f aca="false">IF(SUM('Schedule Logic'!$R$6:$R$166)=0,0,SUMPRODUCT('Schedule Logic'!$R$6:$R$166,(A18&gt;='Schedule Logic'!$T$6:$T$166)+(A18&gt;='Schedule Logic'!$S$6:$S$166)*(A18&lt;'Schedule Logic'!$T$6:$T$166)*(A18-'Schedule Logic'!$S$6:$S$166+1)/('Schedule Logic'!$T$6:$T$166-'Schedule Logic'!$S$6:$S$166+1))/SUM('Schedule Logic'!$R$6:$R$166))</f>
        <v>0.361673288874157</v>
      </c>
      <c r="C18" s="8"/>
      <c r="D18" s="42"/>
      <c r="E18" s="43"/>
      <c r="F18" s="44"/>
      <c r="G18" s="44"/>
      <c r="H18" s="45"/>
      <c r="I18" s="46"/>
      <c r="J18" s="47"/>
      <c r="K18" s="9"/>
      <c r="L18" s="9"/>
      <c r="M18" s="43"/>
      <c r="N18" s="9"/>
      <c r="O18" s="9"/>
      <c r="P18" s="43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51"/>
    </row>
    <row r="19" customFormat="false" ht="15" hidden="false" customHeight="false" outlineLevel="0" collapsed="false">
      <c r="A19" s="49" t="n">
        <f aca="false">A18+7</f>
        <v>46395</v>
      </c>
      <c r="B19" s="50" t="n">
        <f aca="false">IF(SUM('Schedule Logic'!$R$6:$R$166)=0,0,SUMPRODUCT('Schedule Logic'!$R$6:$R$166,(A19&gt;='Schedule Logic'!$T$6:$T$166)+(A19&gt;='Schedule Logic'!$S$6:$S$166)*(A19&lt;'Schedule Logic'!$T$6:$T$166)*(A19-'Schedule Logic'!$S$6:$S$166+1)/('Schedule Logic'!$T$6:$T$166-'Schedule Logic'!$S$6:$S$166+1))/SUM('Schedule Logic'!$R$6:$R$166))</f>
        <v>0.384964478404318</v>
      </c>
      <c r="C19" s="8"/>
      <c r="D19" s="42"/>
      <c r="E19" s="43"/>
      <c r="F19" s="44"/>
      <c r="G19" s="44"/>
      <c r="H19" s="45"/>
      <c r="I19" s="46"/>
      <c r="J19" s="47"/>
      <c r="K19" s="9"/>
      <c r="L19" s="9"/>
      <c r="M19" s="43"/>
      <c r="N19" s="9"/>
      <c r="O19" s="9"/>
      <c r="P19" s="43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  <c r="AM19" s="51"/>
    </row>
    <row r="20" customFormat="false" ht="15" hidden="false" customHeight="false" outlineLevel="0" collapsed="false">
      <c r="A20" s="49" t="n">
        <f aca="false">A19+7</f>
        <v>46402</v>
      </c>
      <c r="B20" s="50" t="n">
        <f aca="false">IF(SUM('Schedule Logic'!$R$6:$R$166)=0,0,SUMPRODUCT('Schedule Logic'!$R$6:$R$166,(A20&gt;='Schedule Logic'!$T$6:$T$166)+(A20&gt;='Schedule Logic'!$S$6:$S$166)*(A20&lt;'Schedule Logic'!$T$6:$T$166)*(A20-'Schedule Logic'!$S$6:$S$166+1)/('Schedule Logic'!$T$6:$T$166-'Schedule Logic'!$S$6:$S$166+1))/SUM('Schedule Logic'!$R$6:$R$166))</f>
        <v>0.427444225518205</v>
      </c>
      <c r="C20" s="8"/>
      <c r="D20" s="42"/>
      <c r="E20" s="43"/>
      <c r="F20" s="44"/>
      <c r="G20" s="44"/>
      <c r="H20" s="45"/>
      <c r="I20" s="46"/>
      <c r="J20" s="47"/>
      <c r="K20" s="9"/>
      <c r="L20" s="9"/>
      <c r="M20" s="43"/>
      <c r="N20" s="9"/>
      <c r="O20" s="9"/>
      <c r="P20" s="43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  <c r="AB20" s="48"/>
      <c r="AC20" s="48"/>
      <c r="AD20" s="48"/>
      <c r="AE20" s="48"/>
      <c r="AF20" s="48"/>
      <c r="AG20" s="48"/>
      <c r="AH20" s="48"/>
      <c r="AI20" s="48"/>
      <c r="AJ20" s="48"/>
      <c r="AK20" s="48"/>
      <c r="AL20" s="48"/>
      <c r="AM20" s="51"/>
    </row>
    <row r="21" customFormat="false" ht="15" hidden="false" customHeight="false" outlineLevel="0" collapsed="false">
      <c r="A21" s="49" t="n">
        <f aca="false">A20+7</f>
        <v>46409</v>
      </c>
      <c r="B21" s="50" t="n">
        <f aca="false">IF(SUM('Schedule Logic'!$R$6:$R$166)=0,0,SUMPRODUCT('Schedule Logic'!$R$6:$R$166,(A21&gt;='Schedule Logic'!$T$6:$T$166)+(A21&gt;='Schedule Logic'!$S$6:$S$166)*(A21&lt;'Schedule Logic'!$T$6:$T$166)*(A21-'Schedule Logic'!$S$6:$S$166+1)/('Schedule Logic'!$T$6:$T$166-'Schedule Logic'!$S$6:$S$166+1))/SUM('Schedule Logic'!$R$6:$R$166))</f>
        <v>0.463014964136621</v>
      </c>
      <c r="C21" s="8"/>
      <c r="D21" s="42"/>
      <c r="E21" s="43"/>
      <c r="F21" s="44"/>
      <c r="G21" s="44"/>
      <c r="H21" s="45"/>
      <c r="I21" s="46"/>
      <c r="J21" s="47"/>
      <c r="K21" s="9"/>
      <c r="L21" s="9"/>
      <c r="M21" s="43"/>
      <c r="N21" s="9"/>
      <c r="O21" s="9"/>
      <c r="P21" s="43"/>
      <c r="Q21" s="48"/>
      <c r="R21" s="48"/>
      <c r="S21" s="48"/>
      <c r="T21" s="48"/>
      <c r="U21" s="48"/>
      <c r="V21" s="48"/>
      <c r="W21" s="48"/>
      <c r="X21" s="48"/>
      <c r="Y21" s="48"/>
      <c r="Z21" s="48"/>
      <c r="AA21" s="48"/>
      <c r="AB21" s="48"/>
      <c r="AC21" s="48"/>
      <c r="AD21" s="48"/>
      <c r="AE21" s="48"/>
      <c r="AF21" s="48"/>
      <c r="AG21" s="48"/>
      <c r="AH21" s="48"/>
      <c r="AI21" s="48"/>
      <c r="AJ21" s="48"/>
      <c r="AK21" s="48"/>
      <c r="AL21" s="48"/>
      <c r="AM21" s="51"/>
    </row>
    <row r="22" customFormat="false" ht="15" hidden="false" customHeight="false" outlineLevel="0" collapsed="false">
      <c r="A22" s="49" t="n">
        <f aca="false">A21+7</f>
        <v>46416</v>
      </c>
      <c r="B22" s="50" t="n">
        <f aca="false">IF(SUM('Schedule Logic'!$R$6:$R$166)=0,0,SUMPRODUCT('Schedule Logic'!$R$6:$R$166,(A22&gt;='Schedule Logic'!$T$6:$T$166)+(A22&gt;='Schedule Logic'!$S$6:$S$166)*(A22&lt;'Schedule Logic'!$T$6:$T$166)*(A22-'Schedule Logic'!$S$6:$S$166+1)/('Schedule Logic'!$T$6:$T$166-'Schedule Logic'!$S$6:$S$166+1))/SUM('Schedule Logic'!$R$6:$R$166))</f>
        <v>0.545355191256831</v>
      </c>
      <c r="C22" s="8"/>
      <c r="D22" s="42"/>
      <c r="E22" s="43"/>
      <c r="F22" s="44"/>
      <c r="G22" s="44"/>
      <c r="H22" s="45"/>
      <c r="I22" s="46"/>
      <c r="J22" s="47"/>
      <c r="K22" s="9"/>
      <c r="L22" s="9"/>
      <c r="M22" s="43"/>
      <c r="N22" s="9"/>
      <c r="O22" s="9"/>
      <c r="P22" s="43"/>
      <c r="Q22" s="48"/>
      <c r="R22" s="48"/>
      <c r="S22" s="48"/>
      <c r="T22" s="48"/>
      <c r="U22" s="48"/>
      <c r="V22" s="48"/>
      <c r="W22" s="48"/>
      <c r="X22" s="48"/>
      <c r="Y22" s="48"/>
      <c r="Z22" s="48"/>
      <c r="AA22" s="48"/>
      <c r="AB22" s="48"/>
      <c r="AC22" s="48"/>
      <c r="AD22" s="48"/>
      <c r="AE22" s="48"/>
      <c r="AF22" s="48"/>
      <c r="AG22" s="48"/>
      <c r="AH22" s="48"/>
      <c r="AI22" s="48"/>
      <c r="AJ22" s="48"/>
      <c r="AK22" s="48"/>
      <c r="AL22" s="48"/>
      <c r="AM22" s="51"/>
    </row>
    <row r="23" customFormat="false" ht="15" hidden="false" customHeight="false" outlineLevel="0" collapsed="false">
      <c r="A23" s="49" t="n">
        <f aca="false">A22+7</f>
        <v>46423</v>
      </c>
      <c r="B23" s="50" t="n">
        <f aca="false">IF(SUM('Schedule Logic'!$R$6:$R$166)=0,0,SUMPRODUCT('Schedule Logic'!$R$6:$R$166,(A23&gt;='Schedule Logic'!$T$6:$T$166)+(A23&gt;='Schedule Logic'!$S$6:$S$166)*(A23&lt;'Schedule Logic'!$T$6:$T$166)*(A23-'Schedule Logic'!$S$6:$S$166+1)/('Schedule Logic'!$T$6:$T$166-'Schedule Logic'!$S$6:$S$166+1))/SUM('Schedule Logic'!$R$6:$R$166))</f>
        <v>0.623972748562913</v>
      </c>
      <c r="C23" s="8"/>
      <c r="D23" s="42"/>
      <c r="E23" s="43"/>
      <c r="F23" s="44"/>
      <c r="G23" s="44"/>
      <c r="H23" s="45"/>
      <c r="I23" s="46"/>
      <c r="J23" s="47"/>
      <c r="K23" s="9"/>
      <c r="L23" s="9"/>
      <c r="M23" s="43"/>
      <c r="N23" s="9"/>
      <c r="O23" s="9"/>
      <c r="P23" s="43"/>
      <c r="Q23" s="48"/>
      <c r="R23" s="48"/>
      <c r="S23" s="48"/>
      <c r="T23" s="48"/>
      <c r="U23" s="48"/>
      <c r="V23" s="48"/>
      <c r="W23" s="48"/>
      <c r="X23" s="48"/>
      <c r="Y23" s="48"/>
      <c r="Z23" s="48"/>
      <c r="AA23" s="48"/>
      <c r="AB23" s="48"/>
      <c r="AC23" s="48"/>
      <c r="AD23" s="48"/>
      <c r="AE23" s="48"/>
      <c r="AF23" s="48"/>
      <c r="AG23" s="48"/>
      <c r="AH23" s="48"/>
      <c r="AI23" s="48"/>
      <c r="AJ23" s="48"/>
      <c r="AK23" s="48"/>
      <c r="AL23" s="48"/>
      <c r="AM23" s="51"/>
    </row>
    <row r="24" customFormat="false" ht="15" hidden="false" customHeight="false" outlineLevel="0" collapsed="false">
      <c r="A24" s="49" t="n">
        <f aca="false">A23+7</f>
        <v>46430</v>
      </c>
      <c r="B24" s="50" t="n">
        <f aca="false">IF(SUM('Schedule Logic'!$R$6:$R$166)=0,0,SUMPRODUCT('Schedule Logic'!$R$6:$R$166,(A24&gt;='Schedule Logic'!$T$6:$T$166)+(A24&gt;='Schedule Logic'!$S$6:$S$166)*(A24&lt;'Schedule Logic'!$T$6:$T$166)*(A24-'Schedule Logic'!$S$6:$S$166+1)/('Schedule Logic'!$T$6:$T$166-'Schedule Logic'!$S$6:$S$166+1))/SUM('Schedule Logic'!$R$6:$R$166))</f>
        <v>0.732609467035697</v>
      </c>
      <c r="C24" s="8"/>
      <c r="D24" s="42"/>
      <c r="E24" s="43"/>
      <c r="F24" s="44"/>
      <c r="G24" s="44"/>
      <c r="H24" s="45"/>
      <c r="I24" s="46"/>
      <c r="J24" s="47"/>
      <c r="K24" s="9"/>
      <c r="L24" s="9"/>
      <c r="M24" s="43"/>
      <c r="N24" s="9"/>
      <c r="O24" s="9"/>
      <c r="P24" s="43"/>
      <c r="Q24" s="48"/>
      <c r="R24" s="48"/>
      <c r="S24" s="48"/>
      <c r="T24" s="48"/>
      <c r="U24" s="48"/>
      <c r="V24" s="48"/>
      <c r="W24" s="48"/>
      <c r="X24" s="48"/>
      <c r="Y24" s="48"/>
      <c r="Z24" s="48"/>
      <c r="AA24" s="48"/>
      <c r="AB24" s="48"/>
      <c r="AC24" s="48"/>
      <c r="AD24" s="48"/>
      <c r="AE24" s="48"/>
      <c r="AF24" s="48"/>
      <c r="AG24" s="48"/>
      <c r="AH24" s="48"/>
      <c r="AI24" s="48"/>
      <c r="AJ24" s="48"/>
      <c r="AK24" s="48"/>
      <c r="AL24" s="48"/>
      <c r="AM24" s="51"/>
    </row>
    <row r="25" customFormat="false" ht="15" hidden="false" customHeight="false" outlineLevel="0" collapsed="false">
      <c r="A25" s="49" t="n">
        <f aca="false">A24+7</f>
        <v>46437</v>
      </c>
      <c r="B25" s="50" t="n">
        <f aca="false">IF(SUM('Schedule Logic'!$R$6:$R$166)=0,0,SUMPRODUCT('Schedule Logic'!$R$6:$R$166,(A25&gt;='Schedule Logic'!$T$6:$T$166)+(A25&gt;='Schedule Logic'!$S$6:$S$166)*(A25&lt;'Schedule Logic'!$T$6:$T$166)*(A25-'Schedule Logic'!$S$6:$S$166+1)/('Schedule Logic'!$T$6:$T$166-'Schedule Logic'!$S$6:$S$166+1))/SUM('Schedule Logic'!$R$6:$R$166))</f>
        <v>0.823646299056135</v>
      </c>
      <c r="C25" s="8"/>
      <c r="D25" s="42"/>
      <c r="E25" s="43"/>
      <c r="F25" s="44"/>
      <c r="G25" s="44"/>
      <c r="H25" s="45"/>
      <c r="I25" s="46"/>
      <c r="J25" s="47"/>
      <c r="K25" s="9"/>
      <c r="L25" s="9"/>
      <c r="M25" s="43"/>
      <c r="N25" s="9"/>
      <c r="O25" s="9"/>
      <c r="P25" s="43"/>
      <c r="Q25" s="48"/>
      <c r="R25" s="48"/>
      <c r="S25" s="48"/>
      <c r="T25" s="48"/>
      <c r="U25" s="48"/>
      <c r="V25" s="48"/>
      <c r="W25" s="48"/>
      <c r="X25" s="48"/>
      <c r="Y25" s="48"/>
      <c r="Z25" s="48"/>
      <c r="AA25" s="48"/>
      <c r="AB25" s="48"/>
      <c r="AC25" s="48"/>
      <c r="AD25" s="48"/>
      <c r="AE25" s="48"/>
      <c r="AF25" s="48"/>
      <c r="AG25" s="48"/>
      <c r="AH25" s="48"/>
      <c r="AI25" s="48"/>
      <c r="AJ25" s="48"/>
      <c r="AK25" s="48"/>
      <c r="AL25" s="48"/>
      <c r="AM25" s="51"/>
    </row>
    <row r="26" customFormat="false" ht="15" hidden="false" customHeight="false" outlineLevel="0" collapsed="false">
      <c r="A26" s="49" t="n">
        <f aca="false">A25+7</f>
        <v>46444</v>
      </c>
      <c r="B26" s="50" t="n">
        <f aca="false">IF(SUM('Schedule Logic'!$R$6:$R$166)=0,0,SUMPRODUCT('Schedule Logic'!$R$6:$R$166,(A26&gt;='Schedule Logic'!$T$6:$T$166)+(A26&gt;='Schedule Logic'!$S$6:$S$166)*(A26&lt;'Schedule Logic'!$T$6:$T$166)*(A26-'Schedule Logic'!$S$6:$S$166+1)/('Schedule Logic'!$T$6:$T$166-'Schedule Logic'!$S$6:$S$166+1))/SUM('Schedule Logic'!$R$6:$R$166))</f>
        <v>0.864133134624938</v>
      </c>
      <c r="C26" s="8"/>
      <c r="D26" s="42"/>
      <c r="E26" s="43"/>
      <c r="F26" s="44"/>
      <c r="G26" s="44"/>
      <c r="H26" s="45"/>
      <c r="I26" s="46"/>
      <c r="J26" s="47"/>
      <c r="K26" s="9"/>
      <c r="L26" s="9"/>
      <c r="M26" s="43"/>
      <c r="N26" s="9"/>
      <c r="O26" s="9"/>
      <c r="P26" s="43"/>
      <c r="Q26" s="48"/>
      <c r="R26" s="48"/>
      <c r="S26" s="48"/>
      <c r="T26" s="48"/>
      <c r="U26" s="48"/>
      <c r="V26" s="48"/>
      <c r="W26" s="48"/>
      <c r="X26" s="48"/>
      <c r="Y26" s="48"/>
      <c r="Z26" s="48"/>
      <c r="AA26" s="48"/>
      <c r="AB26" s="48"/>
      <c r="AC26" s="48"/>
      <c r="AD26" s="48"/>
      <c r="AE26" s="48"/>
      <c r="AF26" s="48"/>
      <c r="AG26" s="48"/>
      <c r="AH26" s="48"/>
      <c r="AI26" s="48"/>
      <c r="AJ26" s="48"/>
      <c r="AK26" s="48"/>
      <c r="AL26" s="48"/>
      <c r="AM26" s="51"/>
    </row>
    <row r="27" customFormat="false" ht="15" hidden="false" customHeight="false" outlineLevel="0" collapsed="false">
      <c r="A27" s="49" t="n">
        <f aca="false">A26+7</f>
        <v>46451</v>
      </c>
      <c r="B27" s="50" t="n">
        <f aca="false">IF(SUM('Schedule Logic'!$R$6:$R$166)=0,0,SUMPRODUCT('Schedule Logic'!$R$6:$R$166,(A27&gt;='Schedule Logic'!$T$6:$T$166)+(A27&gt;='Schedule Logic'!$S$6:$S$166)*(A27&lt;'Schedule Logic'!$T$6:$T$166)*(A27-'Schedule Logic'!$S$6:$S$166+1)/('Schedule Logic'!$T$6:$T$166-'Schedule Logic'!$S$6:$S$166+1))/SUM('Schedule Logic'!$R$6:$R$166))</f>
        <v>0.908064249047856</v>
      </c>
      <c r="C27" s="8"/>
      <c r="D27" s="42"/>
      <c r="E27" s="43"/>
      <c r="F27" s="44"/>
      <c r="G27" s="44"/>
      <c r="H27" s="45"/>
      <c r="I27" s="46"/>
      <c r="J27" s="47"/>
      <c r="K27" s="9"/>
      <c r="L27" s="9"/>
      <c r="M27" s="43"/>
      <c r="N27" s="9"/>
      <c r="O27" s="9"/>
      <c r="P27" s="43"/>
      <c r="Q27" s="48"/>
      <c r="R27" s="48"/>
      <c r="S27" s="48"/>
      <c r="T27" s="48"/>
      <c r="U27" s="48"/>
      <c r="V27" s="48"/>
      <c r="W27" s="48"/>
      <c r="X27" s="48"/>
      <c r="Y27" s="48"/>
      <c r="Z27" s="48"/>
      <c r="AA27" s="48"/>
      <c r="AB27" s="48"/>
      <c r="AC27" s="48"/>
      <c r="AD27" s="48"/>
      <c r="AE27" s="48"/>
      <c r="AF27" s="48"/>
      <c r="AG27" s="48"/>
      <c r="AH27" s="48"/>
      <c r="AI27" s="48"/>
      <c r="AJ27" s="48"/>
      <c r="AK27" s="48"/>
      <c r="AL27" s="48"/>
      <c r="AM27" s="51"/>
    </row>
    <row r="28" customFormat="false" ht="15" hidden="false" customHeight="false" outlineLevel="0" collapsed="false">
      <c r="A28" s="49" t="n">
        <f aca="false">A27+7</f>
        <v>46458</v>
      </c>
      <c r="B28" s="50" t="n">
        <f aca="false">IF(SUM('Schedule Logic'!$R$6:$R$166)=0,0,SUMPRODUCT('Schedule Logic'!$R$6:$R$166,(A28&gt;='Schedule Logic'!$T$6:$T$166)+(A28&gt;='Schedule Logic'!$S$6:$S$166)*(A28&lt;'Schedule Logic'!$T$6:$T$166)*(A28-'Schedule Logic'!$S$6:$S$166+1)/('Schedule Logic'!$T$6:$T$166-'Schedule Logic'!$S$6:$S$166+1))/SUM('Schedule Logic'!$R$6:$R$166))</f>
        <v>0.95926477893691</v>
      </c>
      <c r="C28" s="8"/>
      <c r="D28" s="42"/>
      <c r="E28" s="43"/>
      <c r="F28" s="44"/>
      <c r="G28" s="44"/>
      <c r="H28" s="45"/>
      <c r="I28" s="46"/>
      <c r="J28" s="47"/>
      <c r="K28" s="9"/>
      <c r="L28" s="9"/>
      <c r="M28" s="43"/>
      <c r="N28" s="9"/>
      <c r="O28" s="9"/>
      <c r="P28" s="43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51"/>
    </row>
    <row r="29" customFormat="false" ht="15" hidden="false" customHeight="false" outlineLevel="0" collapsed="false">
      <c r="A29" s="49" t="n">
        <f aca="false">A28+7</f>
        <v>46465</v>
      </c>
      <c r="B29" s="50" t="n">
        <f aca="false">IF(SUM('Schedule Logic'!$R$6:$R$166)=0,0,SUMPRODUCT('Schedule Logic'!$R$6:$R$166,(A29&gt;='Schedule Logic'!$T$6:$T$166)+(A29&gt;='Schedule Logic'!$S$6:$S$166)*(A29&lt;'Schedule Logic'!$T$6:$T$166)*(A29-'Schedule Logic'!$S$6:$S$166+1)/('Schedule Logic'!$T$6:$T$166-'Schedule Logic'!$S$6:$S$166+1))/SUM('Schedule Logic'!$R$6:$R$166))</f>
        <v>0.983109786388475</v>
      </c>
      <c r="C29" s="8"/>
      <c r="D29" s="42"/>
      <c r="E29" s="43"/>
      <c r="F29" s="44"/>
      <c r="G29" s="44"/>
      <c r="H29" s="45"/>
      <c r="I29" s="46"/>
      <c r="J29" s="47"/>
      <c r="K29" s="9"/>
      <c r="L29" s="9"/>
      <c r="M29" s="43"/>
      <c r="N29" s="9"/>
      <c r="O29" s="9"/>
      <c r="P29" s="43"/>
      <c r="Q29" s="48"/>
      <c r="R29" s="48"/>
      <c r="S29" s="48"/>
      <c r="T29" s="48"/>
      <c r="U29" s="48"/>
      <c r="V29" s="48"/>
      <c r="W29" s="48"/>
      <c r="X29" s="48"/>
      <c r="Y29" s="48"/>
      <c r="Z29" s="48"/>
      <c r="AA29" s="48"/>
      <c r="AB29" s="48"/>
      <c r="AC29" s="48"/>
      <c r="AD29" s="48"/>
      <c r="AE29" s="48"/>
      <c r="AF29" s="48"/>
      <c r="AG29" s="48"/>
      <c r="AH29" s="48"/>
      <c r="AI29" s="48"/>
      <c r="AJ29" s="48"/>
      <c r="AK29" s="48"/>
      <c r="AL29" s="48"/>
      <c r="AM29" s="51"/>
    </row>
    <row r="30" customFormat="false" ht="15" hidden="false" customHeight="false" outlineLevel="0" collapsed="false">
      <c r="A30" s="49" t="n">
        <f aca="false">A29+7</f>
        <v>46472</v>
      </c>
      <c r="B30" s="50" t="n">
        <f aca="false">IF(SUM('Schedule Logic'!$R$6:$R$166)=0,0,SUMPRODUCT('Schedule Logic'!$R$6:$R$166,(A30&gt;='Schedule Logic'!$T$6:$T$166)+(A30&gt;='Schedule Logic'!$S$6:$S$166)*(A30&lt;'Schedule Logic'!$T$6:$T$166)*(A30-'Schedule Logic'!$S$6:$S$166+1)/('Schedule Logic'!$T$6:$T$166-'Schedule Logic'!$S$6:$S$166+1))/SUM('Schedule Logic'!$R$6:$R$166))</f>
        <v>0.994038748137109</v>
      </c>
      <c r="C30" s="8"/>
      <c r="D30" s="42"/>
      <c r="E30" s="43"/>
      <c r="F30" s="44"/>
      <c r="G30" s="44"/>
      <c r="H30" s="45"/>
      <c r="I30" s="46"/>
      <c r="J30" s="47"/>
      <c r="K30" s="9"/>
      <c r="L30" s="9"/>
      <c r="M30" s="43"/>
      <c r="N30" s="9"/>
      <c r="O30" s="9"/>
      <c r="P30" s="43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B30" s="48"/>
      <c r="AC30" s="48"/>
      <c r="AD30" s="48"/>
      <c r="AE30" s="48"/>
      <c r="AF30" s="48"/>
      <c r="AG30" s="48"/>
      <c r="AH30" s="48"/>
      <c r="AI30" s="48"/>
      <c r="AJ30" s="48"/>
      <c r="AK30" s="48"/>
      <c r="AL30" s="48"/>
      <c r="AM30" s="51"/>
    </row>
    <row r="31" customFormat="false" ht="15" hidden="false" customHeight="false" outlineLevel="0" collapsed="false">
      <c r="A31" s="49" t="n">
        <f aca="false">A30+7</f>
        <v>46479</v>
      </c>
      <c r="B31" s="50" t="n">
        <f aca="false">IF(SUM('Schedule Logic'!$R$6:$R$166)=0,0,SUMPRODUCT('Schedule Logic'!$R$6:$R$166,(A31&gt;='Schedule Logic'!$T$6:$T$166)+(A31&gt;='Schedule Logic'!$S$6:$S$166)*(A31&lt;'Schedule Logic'!$T$6:$T$166)*(A31-'Schedule Logic'!$S$6:$S$166+1)/('Schedule Logic'!$T$6:$T$166-'Schedule Logic'!$S$6:$S$166+1))/SUM('Schedule Logic'!$R$6:$R$166))</f>
        <v>1</v>
      </c>
      <c r="C31" s="8"/>
      <c r="D31" s="42"/>
      <c r="E31" s="43"/>
      <c r="F31" s="44"/>
      <c r="G31" s="44"/>
      <c r="H31" s="45"/>
      <c r="I31" s="46"/>
      <c r="J31" s="47"/>
      <c r="K31" s="9"/>
      <c r="L31" s="9"/>
      <c r="M31" s="43"/>
      <c r="N31" s="9"/>
      <c r="O31" s="9"/>
      <c r="P31" s="43"/>
      <c r="Q31" s="48"/>
      <c r="R31" s="48"/>
      <c r="S31" s="48"/>
      <c r="T31" s="48"/>
      <c r="U31" s="48"/>
      <c r="V31" s="48"/>
      <c r="W31" s="48"/>
      <c r="X31" s="48"/>
      <c r="Y31" s="48"/>
      <c r="Z31" s="48"/>
      <c r="AA31" s="48"/>
      <c r="AB31" s="48"/>
      <c r="AC31" s="48"/>
      <c r="AD31" s="48"/>
      <c r="AE31" s="48"/>
      <c r="AF31" s="48"/>
      <c r="AG31" s="48"/>
      <c r="AH31" s="48"/>
      <c r="AI31" s="48"/>
      <c r="AJ31" s="48"/>
      <c r="AK31" s="48"/>
      <c r="AL31" s="48"/>
      <c r="AM31" s="51"/>
    </row>
    <row r="32" customFormat="false" ht="15" hidden="false" customHeight="false" outlineLevel="0" collapsed="false">
      <c r="A32" s="49" t="n">
        <f aca="false">A31+7</f>
        <v>46486</v>
      </c>
      <c r="B32" s="50" t="n">
        <f aca="false">IF(SUM('Schedule Logic'!$R$6:$R$166)=0,0,SUMPRODUCT('Schedule Logic'!$R$6:$R$166,(A32&gt;='Schedule Logic'!$T$6:$T$166)+(A32&gt;='Schedule Logic'!$S$6:$S$166)*(A32&lt;'Schedule Logic'!$T$6:$T$166)*(A32-'Schedule Logic'!$S$6:$S$166+1)/('Schedule Logic'!$T$6:$T$166-'Schedule Logic'!$S$6:$S$166+1))/SUM('Schedule Logic'!$R$6:$R$166))</f>
        <v>1</v>
      </c>
      <c r="C32" s="8"/>
      <c r="D32" s="42"/>
      <c r="E32" s="43"/>
      <c r="F32" s="44"/>
      <c r="G32" s="44"/>
      <c r="H32" s="45"/>
      <c r="I32" s="46"/>
      <c r="J32" s="47"/>
      <c r="K32" s="9"/>
      <c r="L32" s="9"/>
      <c r="M32" s="43"/>
      <c r="N32" s="9"/>
      <c r="O32" s="9"/>
      <c r="P32" s="43"/>
      <c r="Q32" s="48"/>
      <c r="R32" s="48"/>
      <c r="S32" s="48"/>
      <c r="T32" s="48"/>
      <c r="U32" s="48"/>
      <c r="V32" s="48"/>
      <c r="W32" s="48"/>
      <c r="X32" s="48"/>
      <c r="Y32" s="48"/>
      <c r="Z32" s="48"/>
      <c r="AA32" s="48"/>
      <c r="AB32" s="48"/>
      <c r="AC32" s="48"/>
      <c r="AD32" s="48"/>
      <c r="AE32" s="48"/>
      <c r="AF32" s="48"/>
      <c r="AG32" s="48"/>
      <c r="AH32" s="48"/>
      <c r="AI32" s="48"/>
      <c r="AJ32" s="48"/>
      <c r="AK32" s="48"/>
      <c r="AL32" s="48"/>
      <c r="AM32" s="51"/>
    </row>
    <row r="33" customFormat="false" ht="15" hidden="false" customHeight="false" outlineLevel="0" collapsed="false">
      <c r="A33" s="49" t="n">
        <f aca="false">A32+7</f>
        <v>46493</v>
      </c>
      <c r="B33" s="50" t="n">
        <f aca="false">IF(SUM('Schedule Logic'!$R$6:$R$166)=0,0,SUMPRODUCT('Schedule Logic'!$R$6:$R$166,(A33&gt;='Schedule Logic'!$T$6:$T$166)+(A33&gt;='Schedule Logic'!$S$6:$S$166)*(A33&lt;'Schedule Logic'!$T$6:$T$166)*(A33-'Schedule Logic'!$S$6:$S$166+1)/('Schedule Logic'!$T$6:$T$166-'Schedule Logic'!$S$6:$S$166+1))/SUM('Schedule Logic'!$R$6:$R$166))</f>
        <v>1</v>
      </c>
      <c r="C33" s="8"/>
      <c r="D33" s="42"/>
      <c r="E33" s="43"/>
      <c r="F33" s="44"/>
      <c r="G33" s="44"/>
      <c r="H33" s="45"/>
      <c r="I33" s="46"/>
      <c r="J33" s="47"/>
      <c r="K33" s="9"/>
      <c r="L33" s="9"/>
      <c r="M33" s="43"/>
      <c r="N33" s="9"/>
      <c r="O33" s="9"/>
      <c r="P33" s="43"/>
      <c r="Q33" s="48"/>
      <c r="R33" s="48"/>
      <c r="S33" s="48"/>
      <c r="T33" s="48"/>
      <c r="U33" s="48"/>
      <c r="V33" s="48"/>
      <c r="W33" s="48"/>
      <c r="X33" s="48"/>
      <c r="Y33" s="48"/>
      <c r="Z33" s="48"/>
      <c r="AA33" s="48"/>
      <c r="AB33" s="48"/>
      <c r="AC33" s="48"/>
      <c r="AD33" s="48"/>
      <c r="AE33" s="48"/>
      <c r="AF33" s="48"/>
      <c r="AG33" s="48"/>
      <c r="AH33" s="48"/>
      <c r="AI33" s="48"/>
      <c r="AJ33" s="48"/>
      <c r="AK33" s="48"/>
      <c r="AL33" s="48"/>
      <c r="AM33" s="51"/>
    </row>
    <row r="34" customFormat="false" ht="15" hidden="false" customHeight="false" outlineLevel="0" collapsed="false">
      <c r="A34" s="49" t="n">
        <f aca="false">A33+7</f>
        <v>46500</v>
      </c>
      <c r="B34" s="50" t="n">
        <f aca="false">IF(SUM('Schedule Logic'!$R$6:$R$166)=0,0,SUMPRODUCT('Schedule Logic'!$R$6:$R$166,(A34&gt;='Schedule Logic'!$T$6:$T$166)+(A34&gt;='Schedule Logic'!$S$6:$S$166)*(A34&lt;'Schedule Logic'!$T$6:$T$166)*(A34-'Schedule Logic'!$S$6:$S$166+1)/('Schedule Logic'!$T$6:$T$166-'Schedule Logic'!$S$6:$S$166+1))/SUM('Schedule Logic'!$R$6:$R$166))</f>
        <v>1</v>
      </c>
      <c r="C34" s="8"/>
      <c r="D34" s="42"/>
      <c r="E34" s="43"/>
      <c r="F34" s="44"/>
      <c r="G34" s="44"/>
      <c r="H34" s="45"/>
      <c r="I34" s="46"/>
      <c r="J34" s="47"/>
      <c r="K34" s="9"/>
      <c r="L34" s="9"/>
      <c r="M34" s="43"/>
      <c r="N34" s="9"/>
      <c r="O34" s="9"/>
      <c r="P34" s="43"/>
      <c r="Q34" s="48"/>
      <c r="R34" s="48"/>
      <c r="S34" s="48"/>
      <c r="T34" s="48"/>
      <c r="U34" s="48"/>
      <c r="V34" s="48"/>
      <c r="W34" s="48"/>
      <c r="X34" s="48"/>
      <c r="Y34" s="48"/>
      <c r="Z34" s="48"/>
      <c r="AA34" s="48"/>
      <c r="AB34" s="48"/>
      <c r="AC34" s="48"/>
      <c r="AD34" s="48"/>
      <c r="AE34" s="48"/>
      <c r="AF34" s="48"/>
      <c r="AG34" s="48"/>
      <c r="AH34" s="48"/>
      <c r="AI34" s="48"/>
      <c r="AJ34" s="48"/>
      <c r="AK34" s="48"/>
      <c r="AL34" s="48"/>
      <c r="AM34" s="51"/>
    </row>
    <row r="35" customFormat="false" ht="15" hidden="false" customHeight="false" outlineLevel="0" collapsed="false">
      <c r="A35" s="49" t="n">
        <f aca="false">A34+7</f>
        <v>46507</v>
      </c>
      <c r="B35" s="50" t="n">
        <f aca="false">IF(SUM('Schedule Logic'!$R$6:$R$166)=0,0,SUMPRODUCT('Schedule Logic'!$R$6:$R$166,(A35&gt;='Schedule Logic'!$T$6:$T$166)+(A35&gt;='Schedule Logic'!$S$6:$S$166)*(A35&lt;'Schedule Logic'!$T$6:$T$166)*(A35-'Schedule Logic'!$S$6:$S$166+1)/('Schedule Logic'!$T$6:$T$166-'Schedule Logic'!$S$6:$S$166+1))/SUM('Schedule Logic'!$R$6:$R$166))</f>
        <v>1</v>
      </c>
      <c r="C35" s="8"/>
      <c r="D35" s="42"/>
      <c r="E35" s="43"/>
      <c r="F35" s="44"/>
      <c r="G35" s="44"/>
      <c r="H35" s="45"/>
      <c r="I35" s="46"/>
      <c r="J35" s="47"/>
      <c r="K35" s="9"/>
      <c r="L35" s="9"/>
      <c r="M35" s="43"/>
      <c r="N35" s="9"/>
      <c r="O35" s="9"/>
      <c r="P35" s="43"/>
      <c r="Q35" s="48"/>
      <c r="R35" s="48"/>
      <c r="S35" s="48"/>
      <c r="T35" s="48"/>
      <c r="U35" s="48"/>
      <c r="V35" s="48"/>
      <c r="W35" s="48"/>
      <c r="X35" s="48"/>
      <c r="Y35" s="48"/>
      <c r="Z35" s="48"/>
      <c r="AA35" s="48"/>
      <c r="AB35" s="48"/>
      <c r="AC35" s="48"/>
      <c r="AD35" s="48"/>
      <c r="AE35" s="48"/>
      <c r="AF35" s="48"/>
      <c r="AG35" s="48"/>
      <c r="AH35" s="48"/>
      <c r="AI35" s="48"/>
      <c r="AJ35" s="48"/>
      <c r="AK35" s="48"/>
      <c r="AL35" s="48"/>
      <c r="AM35" s="51"/>
    </row>
    <row r="36" customFormat="false" ht="15" hidden="false" customHeight="false" outlineLevel="0" collapsed="false">
      <c r="A36" s="49"/>
      <c r="C36" s="8"/>
      <c r="D36" s="42"/>
      <c r="E36" s="43"/>
      <c r="F36" s="44"/>
      <c r="G36" s="44"/>
      <c r="H36" s="45"/>
      <c r="I36" s="46"/>
      <c r="J36" s="47"/>
      <c r="K36" s="9"/>
      <c r="L36" s="9"/>
      <c r="M36" s="43"/>
      <c r="N36" s="9"/>
      <c r="O36" s="9"/>
      <c r="P36" s="43"/>
      <c r="Q36" s="48"/>
      <c r="R36" s="48"/>
      <c r="S36" s="48"/>
      <c r="T36" s="48"/>
      <c r="U36" s="48"/>
      <c r="V36" s="48"/>
      <c r="W36" s="48"/>
      <c r="X36" s="48"/>
      <c r="Y36" s="48"/>
      <c r="Z36" s="48"/>
      <c r="AA36" s="48"/>
      <c r="AB36" s="48"/>
      <c r="AC36" s="48"/>
      <c r="AD36" s="48"/>
      <c r="AE36" s="48"/>
      <c r="AF36" s="48"/>
      <c r="AG36" s="48"/>
      <c r="AH36" s="48"/>
      <c r="AI36" s="48"/>
      <c r="AJ36" s="48"/>
      <c r="AK36" s="48"/>
      <c r="AL36" s="48"/>
    </row>
    <row r="37" customFormat="false" ht="15" hidden="false" customHeight="false" outlineLevel="0" collapsed="false">
      <c r="A37" s="49"/>
      <c r="C37" s="8"/>
      <c r="D37" s="42"/>
      <c r="E37" s="43"/>
      <c r="F37" s="44"/>
      <c r="G37" s="44"/>
      <c r="H37" s="45"/>
      <c r="I37" s="46"/>
      <c r="J37" s="47"/>
      <c r="K37" s="9"/>
      <c r="L37" s="9"/>
      <c r="M37" s="43"/>
      <c r="N37" s="9"/>
      <c r="O37" s="9"/>
      <c r="P37" s="43"/>
      <c r="Q37" s="48"/>
      <c r="R37" s="48"/>
      <c r="S37" s="48"/>
      <c r="T37" s="48"/>
      <c r="U37" s="48"/>
      <c r="V37" s="48"/>
      <c r="W37" s="48"/>
      <c r="X37" s="48"/>
      <c r="Y37" s="48"/>
      <c r="Z37" s="48"/>
      <c r="AA37" s="48"/>
      <c r="AB37" s="48"/>
      <c r="AC37" s="48"/>
      <c r="AD37" s="48"/>
      <c r="AE37" s="48"/>
      <c r="AF37" s="48"/>
      <c r="AG37" s="48"/>
      <c r="AH37" s="48"/>
      <c r="AI37" s="48"/>
      <c r="AJ37" s="48"/>
      <c r="AK37" s="48"/>
      <c r="AL37" s="48"/>
    </row>
    <row r="38" customFormat="false" ht="15" hidden="false" customHeight="false" outlineLevel="0" collapsed="false">
      <c r="A38" s="49"/>
      <c r="C38" s="8"/>
      <c r="D38" s="42"/>
      <c r="E38" s="43"/>
      <c r="F38" s="44"/>
      <c r="G38" s="44"/>
      <c r="H38" s="45"/>
      <c r="I38" s="46"/>
      <c r="J38" s="47"/>
      <c r="K38" s="9"/>
      <c r="L38" s="9"/>
      <c r="M38" s="43"/>
      <c r="N38" s="9"/>
      <c r="O38" s="9"/>
      <c r="P38" s="43"/>
      <c r="Q38" s="48"/>
      <c r="R38" s="48"/>
      <c r="S38" s="48"/>
      <c r="T38" s="48"/>
      <c r="U38" s="48"/>
      <c r="V38" s="48"/>
      <c r="W38" s="48"/>
      <c r="X38" s="48"/>
      <c r="Y38" s="48"/>
      <c r="Z38" s="48"/>
      <c r="AA38" s="48"/>
      <c r="AB38" s="48"/>
      <c r="AC38" s="48"/>
      <c r="AD38" s="48"/>
      <c r="AE38" s="48"/>
      <c r="AF38" s="48"/>
      <c r="AG38" s="48"/>
      <c r="AH38" s="48"/>
      <c r="AI38" s="48"/>
      <c r="AJ38" s="48"/>
      <c r="AK38" s="48"/>
      <c r="AL38" s="48"/>
    </row>
    <row r="39" customFormat="false" ht="15" hidden="false" customHeight="false" outlineLevel="0" collapsed="false">
      <c r="A39" s="49"/>
      <c r="C39" s="8"/>
      <c r="D39" s="42"/>
      <c r="E39" s="43"/>
      <c r="F39" s="44"/>
      <c r="G39" s="44"/>
      <c r="H39" s="45"/>
      <c r="I39" s="46"/>
      <c r="J39" s="47"/>
      <c r="K39" s="9"/>
      <c r="L39" s="9"/>
      <c r="M39" s="43"/>
      <c r="N39" s="9"/>
      <c r="O39" s="9"/>
      <c r="P39" s="43"/>
      <c r="Q39" s="48"/>
      <c r="R39" s="48"/>
      <c r="S39" s="48"/>
      <c r="T39" s="48"/>
      <c r="U39" s="48"/>
      <c r="V39" s="48"/>
      <c r="W39" s="48"/>
      <c r="X39" s="48"/>
      <c r="Y39" s="48"/>
      <c r="Z39" s="48"/>
      <c r="AA39" s="48"/>
      <c r="AB39" s="48"/>
      <c r="AC39" s="48"/>
      <c r="AD39" s="48"/>
      <c r="AE39" s="48"/>
      <c r="AF39" s="48"/>
      <c r="AG39" s="48"/>
      <c r="AH39" s="48"/>
      <c r="AI39" s="48"/>
      <c r="AJ39" s="48"/>
      <c r="AK39" s="48"/>
      <c r="AL39" s="48"/>
    </row>
    <row r="40" customFormat="false" ht="15" hidden="false" customHeight="false" outlineLevel="0" collapsed="false">
      <c r="A40" s="49"/>
      <c r="C40" s="8"/>
      <c r="D40" s="42"/>
      <c r="E40" s="43"/>
      <c r="F40" s="44"/>
      <c r="G40" s="44"/>
      <c r="H40" s="45"/>
      <c r="I40" s="46"/>
      <c r="J40" s="47"/>
      <c r="K40" s="9"/>
      <c r="L40" s="9"/>
      <c r="M40" s="43"/>
      <c r="N40" s="9"/>
      <c r="O40" s="9"/>
      <c r="P40" s="43"/>
      <c r="Q40" s="48"/>
      <c r="R40" s="48"/>
      <c r="S40" s="48"/>
      <c r="T40" s="48"/>
      <c r="U40" s="48"/>
      <c r="V40" s="48"/>
      <c r="W40" s="48"/>
      <c r="X40" s="48"/>
      <c r="Y40" s="48"/>
      <c r="Z40" s="48"/>
      <c r="AA40" s="48"/>
      <c r="AB40" s="48"/>
      <c r="AC40" s="48"/>
      <c r="AD40" s="48"/>
      <c r="AE40" s="48"/>
      <c r="AF40" s="48"/>
      <c r="AG40" s="48"/>
      <c r="AH40" s="48"/>
      <c r="AI40" s="48"/>
      <c r="AJ40" s="48"/>
      <c r="AK40" s="48"/>
      <c r="AL40" s="48"/>
    </row>
    <row r="41" customFormat="false" ht="15" hidden="false" customHeight="false" outlineLevel="0" collapsed="false">
      <c r="A41" s="49"/>
      <c r="C41" s="8"/>
      <c r="D41" s="42"/>
      <c r="E41" s="43"/>
      <c r="F41" s="44"/>
      <c r="G41" s="44"/>
      <c r="H41" s="45"/>
      <c r="I41" s="46"/>
      <c r="J41" s="47"/>
      <c r="K41" s="9"/>
      <c r="L41" s="9"/>
      <c r="M41" s="43"/>
      <c r="N41" s="9"/>
      <c r="O41" s="9"/>
      <c r="P41" s="43"/>
      <c r="Q41" s="48"/>
      <c r="R41" s="48"/>
      <c r="S41" s="48"/>
      <c r="T41" s="48"/>
      <c r="U41" s="48"/>
      <c r="V41" s="48"/>
      <c r="W41" s="48"/>
      <c r="X41" s="48"/>
      <c r="Y41" s="48"/>
      <c r="Z41" s="48"/>
      <c r="AA41" s="48"/>
      <c r="AB41" s="48"/>
      <c r="AC41" s="48"/>
      <c r="AD41" s="48"/>
      <c r="AE41" s="48"/>
      <c r="AF41" s="48"/>
      <c r="AG41" s="48"/>
      <c r="AH41" s="48"/>
      <c r="AI41" s="48"/>
      <c r="AJ41" s="48"/>
      <c r="AK41" s="48"/>
      <c r="AL41" s="48"/>
    </row>
    <row r="42" customFormat="false" ht="15" hidden="false" customHeight="false" outlineLevel="0" collapsed="false">
      <c r="A42" s="49"/>
      <c r="C42" s="8"/>
      <c r="D42" s="42"/>
      <c r="E42" s="43"/>
      <c r="F42" s="44"/>
      <c r="G42" s="44"/>
      <c r="H42" s="45"/>
      <c r="I42" s="46"/>
      <c r="J42" s="47"/>
      <c r="K42" s="9"/>
      <c r="L42" s="9"/>
      <c r="M42" s="43"/>
      <c r="N42" s="9"/>
      <c r="O42" s="9"/>
      <c r="P42" s="43"/>
      <c r="Q42" s="48"/>
      <c r="R42" s="48"/>
      <c r="S42" s="48"/>
      <c r="T42" s="48"/>
      <c r="U42" s="48"/>
      <c r="V42" s="48"/>
      <c r="W42" s="48"/>
      <c r="X42" s="48"/>
      <c r="Y42" s="48"/>
      <c r="Z42" s="48"/>
      <c r="AA42" s="48"/>
      <c r="AB42" s="48"/>
      <c r="AC42" s="48"/>
      <c r="AD42" s="48"/>
      <c r="AE42" s="48"/>
      <c r="AF42" s="48"/>
      <c r="AG42" s="48"/>
      <c r="AH42" s="48"/>
      <c r="AI42" s="48"/>
      <c r="AJ42" s="48"/>
      <c r="AK42" s="48"/>
      <c r="AL42" s="48"/>
    </row>
    <row r="43" customFormat="false" ht="15" hidden="false" customHeight="false" outlineLevel="0" collapsed="false">
      <c r="A43" s="49"/>
      <c r="C43" s="8"/>
      <c r="D43" s="42"/>
      <c r="E43" s="43"/>
      <c r="F43" s="44"/>
      <c r="G43" s="44"/>
      <c r="H43" s="45"/>
      <c r="I43" s="46"/>
      <c r="J43" s="47"/>
      <c r="K43" s="9"/>
      <c r="L43" s="9"/>
      <c r="M43" s="43"/>
      <c r="N43" s="9"/>
      <c r="O43" s="9"/>
      <c r="P43" s="43"/>
      <c r="Q43" s="48"/>
      <c r="R43" s="48"/>
      <c r="S43" s="48"/>
      <c r="T43" s="48"/>
      <c r="U43" s="48"/>
      <c r="V43" s="48"/>
      <c r="W43" s="48"/>
      <c r="X43" s="48"/>
      <c r="Y43" s="48"/>
      <c r="Z43" s="48"/>
      <c r="AA43" s="48"/>
      <c r="AB43" s="48"/>
      <c r="AC43" s="48"/>
      <c r="AD43" s="48"/>
      <c r="AE43" s="48"/>
      <c r="AF43" s="48"/>
      <c r="AG43" s="48"/>
      <c r="AH43" s="48"/>
      <c r="AI43" s="48"/>
      <c r="AJ43" s="48"/>
      <c r="AK43" s="48"/>
      <c r="AL43" s="48"/>
    </row>
    <row r="44" customFormat="false" ht="15" hidden="false" customHeight="false" outlineLevel="0" collapsed="false">
      <c r="A44" s="49"/>
      <c r="C44" s="8"/>
      <c r="D44" s="42"/>
      <c r="E44" s="43"/>
      <c r="F44" s="44"/>
      <c r="G44" s="44"/>
      <c r="H44" s="45"/>
      <c r="I44" s="46"/>
      <c r="J44" s="47"/>
      <c r="K44" s="9"/>
      <c r="L44" s="9"/>
      <c r="M44" s="43"/>
      <c r="N44" s="9"/>
      <c r="O44" s="9"/>
      <c r="P44" s="43"/>
      <c r="Q44" s="48"/>
      <c r="R44" s="48"/>
      <c r="S44" s="48"/>
      <c r="T44" s="48"/>
      <c r="U44" s="48"/>
      <c r="V44" s="48"/>
      <c r="W44" s="48"/>
      <c r="X44" s="48"/>
      <c r="Y44" s="48"/>
      <c r="Z44" s="48"/>
      <c r="AA44" s="48"/>
      <c r="AB44" s="48"/>
      <c r="AC44" s="48"/>
      <c r="AD44" s="48"/>
      <c r="AE44" s="48"/>
      <c r="AF44" s="48"/>
      <c r="AG44" s="48"/>
      <c r="AH44" s="48"/>
      <c r="AI44" s="48"/>
      <c r="AJ44" s="48"/>
      <c r="AK44" s="48"/>
      <c r="AL44" s="48"/>
    </row>
    <row r="45" customFormat="false" ht="15" hidden="false" customHeight="false" outlineLevel="0" collapsed="false">
      <c r="A45" s="49"/>
      <c r="C45" s="8"/>
      <c r="D45" s="42"/>
      <c r="E45" s="43"/>
      <c r="F45" s="44"/>
      <c r="G45" s="44"/>
      <c r="H45" s="45"/>
      <c r="I45" s="46"/>
      <c r="J45" s="47"/>
      <c r="K45" s="9"/>
      <c r="L45" s="9"/>
      <c r="M45" s="43"/>
      <c r="N45" s="9"/>
      <c r="O45" s="9"/>
      <c r="P45" s="43"/>
      <c r="Q45" s="48"/>
      <c r="R45" s="48"/>
      <c r="S45" s="48"/>
      <c r="T45" s="48"/>
      <c r="U45" s="48"/>
      <c r="V45" s="48"/>
      <c r="W45" s="48"/>
      <c r="X45" s="48"/>
      <c r="Y45" s="48"/>
      <c r="Z45" s="48"/>
      <c r="AA45" s="48"/>
      <c r="AB45" s="48"/>
      <c r="AC45" s="48"/>
      <c r="AD45" s="48"/>
      <c r="AE45" s="48"/>
      <c r="AF45" s="48"/>
      <c r="AG45" s="48"/>
      <c r="AH45" s="48"/>
      <c r="AI45" s="48"/>
      <c r="AJ45" s="48"/>
      <c r="AK45" s="48"/>
      <c r="AL45" s="48"/>
    </row>
    <row r="46" customFormat="false" ht="15" hidden="false" customHeight="false" outlineLevel="0" collapsed="false">
      <c r="A46" s="49"/>
      <c r="C46" s="8"/>
      <c r="D46" s="42"/>
      <c r="E46" s="43"/>
      <c r="F46" s="44"/>
      <c r="G46" s="44"/>
      <c r="H46" s="45"/>
      <c r="I46" s="46"/>
      <c r="J46" s="47"/>
      <c r="K46" s="9"/>
      <c r="L46" s="9"/>
      <c r="M46" s="43"/>
      <c r="N46" s="9"/>
      <c r="O46" s="9"/>
      <c r="P46" s="43"/>
      <c r="Q46" s="48"/>
      <c r="R46" s="48"/>
      <c r="S46" s="48"/>
      <c r="T46" s="48"/>
      <c r="U46" s="48"/>
      <c r="V46" s="48"/>
      <c r="W46" s="48"/>
      <c r="X46" s="48"/>
      <c r="Y46" s="48"/>
      <c r="Z46" s="48"/>
      <c r="AA46" s="48"/>
      <c r="AB46" s="48"/>
      <c r="AC46" s="48"/>
      <c r="AD46" s="48"/>
      <c r="AE46" s="48"/>
      <c r="AF46" s="48"/>
      <c r="AG46" s="48"/>
      <c r="AH46" s="48"/>
      <c r="AI46" s="48"/>
      <c r="AJ46" s="48"/>
      <c r="AK46" s="48"/>
      <c r="AL46" s="48"/>
    </row>
    <row r="47" customFormat="false" ht="15" hidden="false" customHeight="false" outlineLevel="0" collapsed="false">
      <c r="A47" s="49"/>
      <c r="C47" s="8"/>
      <c r="D47" s="42"/>
      <c r="E47" s="43"/>
      <c r="F47" s="44"/>
      <c r="G47" s="44"/>
      <c r="H47" s="45"/>
      <c r="I47" s="46"/>
      <c r="J47" s="47"/>
      <c r="K47" s="9"/>
      <c r="L47" s="9"/>
      <c r="M47" s="43"/>
      <c r="N47" s="9"/>
      <c r="O47" s="9"/>
      <c r="P47" s="43"/>
      <c r="Q47" s="48"/>
      <c r="R47" s="48"/>
      <c r="S47" s="48"/>
      <c r="T47" s="48"/>
      <c r="U47" s="48"/>
      <c r="V47" s="48"/>
      <c r="W47" s="48"/>
      <c r="X47" s="48"/>
      <c r="Y47" s="48"/>
      <c r="Z47" s="48"/>
      <c r="AA47" s="48"/>
      <c r="AB47" s="48"/>
      <c r="AC47" s="48"/>
      <c r="AD47" s="48"/>
      <c r="AE47" s="48"/>
      <c r="AF47" s="48"/>
      <c r="AG47" s="48"/>
      <c r="AH47" s="48"/>
      <c r="AI47" s="48"/>
      <c r="AJ47" s="48"/>
      <c r="AK47" s="48"/>
      <c r="AL47" s="48"/>
    </row>
    <row r="48" customFormat="false" ht="15" hidden="false" customHeight="false" outlineLevel="0" collapsed="false">
      <c r="A48" s="49"/>
      <c r="C48" s="8"/>
      <c r="D48" s="42"/>
      <c r="E48" s="43"/>
      <c r="F48" s="44"/>
      <c r="G48" s="44"/>
      <c r="H48" s="45"/>
      <c r="I48" s="46"/>
      <c r="J48" s="47"/>
      <c r="K48" s="9"/>
      <c r="L48" s="9"/>
      <c r="M48" s="43"/>
      <c r="N48" s="9"/>
      <c r="O48" s="9"/>
      <c r="P48" s="43"/>
      <c r="Q48" s="48"/>
      <c r="R48" s="48"/>
      <c r="S48" s="48"/>
      <c r="T48" s="48"/>
      <c r="U48" s="48"/>
      <c r="V48" s="48"/>
      <c r="W48" s="48"/>
      <c r="X48" s="48"/>
      <c r="Y48" s="48"/>
      <c r="Z48" s="48"/>
      <c r="AA48" s="48"/>
      <c r="AB48" s="48"/>
      <c r="AC48" s="48"/>
      <c r="AD48" s="48"/>
      <c r="AE48" s="48"/>
      <c r="AF48" s="48"/>
      <c r="AG48" s="48"/>
      <c r="AH48" s="48"/>
      <c r="AI48" s="48"/>
      <c r="AJ48" s="48"/>
      <c r="AK48" s="48"/>
      <c r="AL48" s="48"/>
    </row>
    <row r="49" customFormat="false" ht="15" hidden="false" customHeight="false" outlineLevel="0" collapsed="false">
      <c r="A49" s="49"/>
      <c r="C49" s="8"/>
      <c r="D49" s="42"/>
      <c r="E49" s="43"/>
      <c r="F49" s="44"/>
      <c r="G49" s="44"/>
      <c r="H49" s="45"/>
      <c r="I49" s="46"/>
      <c r="J49" s="47"/>
      <c r="K49" s="9"/>
      <c r="L49" s="9"/>
      <c r="M49" s="43"/>
      <c r="N49" s="9"/>
      <c r="O49" s="9"/>
      <c r="P49" s="43"/>
      <c r="Q49" s="48"/>
      <c r="R49" s="48"/>
      <c r="S49" s="48"/>
      <c r="T49" s="48"/>
      <c r="U49" s="48"/>
      <c r="V49" s="48"/>
      <c r="W49" s="48"/>
      <c r="X49" s="48"/>
      <c r="Y49" s="48"/>
      <c r="Z49" s="48"/>
      <c r="AA49" s="48"/>
      <c r="AB49" s="48"/>
      <c r="AC49" s="48"/>
      <c r="AD49" s="48"/>
      <c r="AE49" s="48"/>
      <c r="AF49" s="48"/>
      <c r="AG49" s="48"/>
      <c r="AH49" s="48"/>
      <c r="AI49" s="48"/>
      <c r="AJ49" s="48"/>
      <c r="AK49" s="48"/>
      <c r="AL49" s="48"/>
    </row>
    <row r="50" customFormat="false" ht="15" hidden="false" customHeight="false" outlineLevel="0" collapsed="false">
      <c r="A50" s="49"/>
      <c r="C50" s="8"/>
      <c r="D50" s="42"/>
      <c r="E50" s="43"/>
      <c r="F50" s="44"/>
      <c r="G50" s="44"/>
      <c r="H50" s="45"/>
      <c r="I50" s="46"/>
      <c r="J50" s="47"/>
      <c r="K50" s="9"/>
      <c r="L50" s="9"/>
      <c r="M50" s="43"/>
      <c r="N50" s="9"/>
      <c r="O50" s="9"/>
      <c r="P50" s="43"/>
      <c r="Q50" s="48"/>
      <c r="R50" s="48"/>
      <c r="S50" s="48"/>
      <c r="T50" s="48"/>
      <c r="U50" s="48"/>
      <c r="V50" s="48"/>
      <c r="W50" s="48"/>
      <c r="X50" s="48"/>
      <c r="Y50" s="48"/>
      <c r="Z50" s="48"/>
      <c r="AA50" s="48"/>
      <c r="AB50" s="48"/>
      <c r="AC50" s="48"/>
      <c r="AD50" s="48"/>
      <c r="AE50" s="48"/>
      <c r="AF50" s="48"/>
      <c r="AG50" s="48"/>
      <c r="AH50" s="48"/>
      <c r="AI50" s="48"/>
      <c r="AJ50" s="48"/>
      <c r="AK50" s="48"/>
      <c r="AL50" s="48"/>
    </row>
    <row r="51" customFormat="false" ht="15" hidden="false" customHeight="false" outlineLevel="0" collapsed="false">
      <c r="A51" s="49"/>
      <c r="C51" s="8"/>
      <c r="D51" s="42"/>
      <c r="E51" s="43"/>
      <c r="F51" s="44"/>
      <c r="G51" s="44"/>
      <c r="H51" s="45"/>
      <c r="I51" s="46"/>
      <c r="J51" s="47"/>
      <c r="K51" s="9"/>
      <c r="L51" s="9"/>
      <c r="M51" s="43"/>
      <c r="N51" s="9"/>
      <c r="O51" s="9"/>
      <c r="P51" s="43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</row>
    <row r="52" customFormat="false" ht="15" hidden="false" customHeight="false" outlineLevel="0" collapsed="false">
      <c r="A52" s="49"/>
      <c r="C52" s="8"/>
      <c r="D52" s="42"/>
      <c r="E52" s="43"/>
      <c r="F52" s="44"/>
      <c r="G52" s="44"/>
      <c r="H52" s="45"/>
      <c r="I52" s="46"/>
      <c r="J52" s="47"/>
      <c r="K52" s="9"/>
      <c r="L52" s="9"/>
      <c r="M52" s="43"/>
      <c r="N52" s="9"/>
      <c r="O52" s="9"/>
      <c r="P52" s="43"/>
      <c r="Q52" s="48"/>
      <c r="R52" s="48"/>
      <c r="S52" s="48"/>
      <c r="T52" s="48"/>
      <c r="U52" s="48"/>
      <c r="V52" s="48"/>
      <c r="W52" s="48"/>
      <c r="X52" s="48"/>
      <c r="Y52" s="48"/>
      <c r="Z52" s="48"/>
      <c r="AA52" s="48"/>
      <c r="AB52" s="48"/>
      <c r="AC52" s="48"/>
      <c r="AD52" s="48"/>
      <c r="AE52" s="48"/>
      <c r="AF52" s="48"/>
      <c r="AG52" s="48"/>
      <c r="AH52" s="48"/>
      <c r="AI52" s="48"/>
      <c r="AJ52" s="48"/>
      <c r="AK52" s="48"/>
      <c r="AL52" s="48"/>
    </row>
    <row r="53" customFormat="false" ht="15" hidden="false" customHeight="false" outlineLevel="0" collapsed="false">
      <c r="A53" s="49"/>
      <c r="C53" s="8"/>
      <c r="D53" s="42"/>
      <c r="E53" s="43"/>
      <c r="F53" s="44"/>
      <c r="G53" s="44"/>
      <c r="H53" s="45"/>
      <c r="I53" s="46"/>
      <c r="J53" s="47"/>
      <c r="K53" s="9"/>
      <c r="L53" s="9"/>
      <c r="M53" s="43"/>
      <c r="N53" s="9"/>
      <c r="O53" s="9"/>
      <c r="P53" s="43"/>
      <c r="Q53" s="48"/>
      <c r="R53" s="48"/>
      <c r="S53" s="48"/>
      <c r="T53" s="48"/>
      <c r="U53" s="48"/>
      <c r="V53" s="48"/>
      <c r="W53" s="48"/>
      <c r="X53" s="48"/>
      <c r="Y53" s="48"/>
      <c r="Z53" s="48"/>
      <c r="AA53" s="48"/>
      <c r="AB53" s="48"/>
      <c r="AC53" s="48"/>
      <c r="AD53" s="48"/>
      <c r="AE53" s="48"/>
      <c r="AF53" s="48"/>
      <c r="AG53" s="48"/>
      <c r="AH53" s="48"/>
      <c r="AI53" s="48"/>
      <c r="AJ53" s="48"/>
      <c r="AK53" s="48"/>
      <c r="AL53" s="48"/>
    </row>
    <row r="54" customFormat="false" ht="15" hidden="false" customHeight="false" outlineLevel="0" collapsed="false">
      <c r="A54" s="49"/>
      <c r="C54" s="8"/>
      <c r="D54" s="42"/>
      <c r="E54" s="43"/>
      <c r="F54" s="44"/>
      <c r="G54" s="44"/>
      <c r="H54" s="45"/>
      <c r="I54" s="46"/>
      <c r="J54" s="47"/>
      <c r="K54" s="9"/>
      <c r="L54" s="9"/>
      <c r="M54" s="43"/>
      <c r="N54" s="9"/>
      <c r="O54" s="9"/>
      <c r="P54" s="43"/>
      <c r="Q54" s="48"/>
      <c r="R54" s="48"/>
      <c r="S54" s="48"/>
      <c r="T54" s="48"/>
      <c r="U54" s="48"/>
      <c r="V54" s="48"/>
      <c r="W54" s="48"/>
      <c r="X54" s="48"/>
      <c r="Y54" s="48"/>
      <c r="Z54" s="48"/>
      <c r="AA54" s="48"/>
      <c r="AB54" s="48"/>
      <c r="AC54" s="48"/>
      <c r="AD54" s="48"/>
      <c r="AE54" s="48"/>
      <c r="AF54" s="48"/>
      <c r="AG54" s="48"/>
      <c r="AH54" s="48"/>
      <c r="AI54" s="48"/>
      <c r="AJ54" s="48"/>
      <c r="AK54" s="48"/>
      <c r="AL54" s="48"/>
    </row>
    <row r="55" customFormat="false" ht="15" hidden="false" customHeight="false" outlineLevel="0" collapsed="false">
      <c r="A55" s="49"/>
      <c r="C55" s="8"/>
      <c r="D55" s="42"/>
      <c r="E55" s="43"/>
      <c r="F55" s="44"/>
      <c r="G55" s="44"/>
      <c r="H55" s="45"/>
      <c r="I55" s="46"/>
      <c r="J55" s="47"/>
      <c r="K55" s="9"/>
      <c r="L55" s="9"/>
      <c r="M55" s="43"/>
      <c r="N55" s="9"/>
      <c r="O55" s="9"/>
      <c r="P55" s="43"/>
      <c r="Q55" s="48"/>
      <c r="R55" s="48"/>
      <c r="S55" s="48"/>
      <c r="T55" s="48"/>
      <c r="U55" s="48"/>
      <c r="V55" s="48"/>
      <c r="W55" s="48"/>
      <c r="X55" s="48"/>
      <c r="Y55" s="48"/>
      <c r="Z55" s="48"/>
      <c r="AA55" s="48"/>
      <c r="AB55" s="48"/>
      <c r="AC55" s="48"/>
      <c r="AD55" s="48"/>
      <c r="AE55" s="48"/>
      <c r="AF55" s="48"/>
      <c r="AG55" s="48"/>
      <c r="AH55" s="48"/>
      <c r="AI55" s="48"/>
      <c r="AJ55" s="48"/>
      <c r="AK55" s="48"/>
      <c r="AL55" s="48"/>
    </row>
    <row r="56" customFormat="false" ht="15" hidden="false" customHeight="false" outlineLevel="0" collapsed="false">
      <c r="A56" s="49"/>
      <c r="C56" s="8"/>
      <c r="D56" s="42"/>
      <c r="E56" s="43"/>
      <c r="F56" s="44"/>
      <c r="G56" s="44"/>
      <c r="H56" s="45"/>
      <c r="I56" s="46"/>
      <c r="J56" s="47"/>
      <c r="K56" s="9"/>
      <c r="L56" s="9"/>
      <c r="M56" s="43"/>
      <c r="N56" s="9"/>
      <c r="O56" s="9"/>
      <c r="P56" s="43"/>
      <c r="Q56" s="48"/>
      <c r="R56" s="48"/>
      <c r="S56" s="48"/>
      <c r="T56" s="48"/>
      <c r="U56" s="48"/>
      <c r="V56" s="48"/>
      <c r="W56" s="48"/>
      <c r="X56" s="48"/>
      <c r="Y56" s="48"/>
      <c r="Z56" s="48"/>
      <c r="AA56" s="48"/>
      <c r="AB56" s="48"/>
      <c r="AC56" s="48"/>
      <c r="AD56" s="48"/>
      <c r="AE56" s="48"/>
      <c r="AF56" s="48"/>
      <c r="AG56" s="48"/>
      <c r="AH56" s="48"/>
      <c r="AI56" s="48"/>
      <c r="AJ56" s="48"/>
      <c r="AK56" s="48"/>
      <c r="AL56" s="48"/>
    </row>
    <row r="57" customFormat="false" ht="15" hidden="false" customHeight="false" outlineLevel="0" collapsed="false">
      <c r="A57" s="49"/>
      <c r="C57" s="8"/>
      <c r="D57" s="42"/>
      <c r="E57" s="43"/>
      <c r="F57" s="44"/>
      <c r="G57" s="44"/>
      <c r="H57" s="45"/>
      <c r="I57" s="46"/>
      <c r="J57" s="47"/>
      <c r="K57" s="9"/>
      <c r="L57" s="9"/>
      <c r="M57" s="43"/>
      <c r="N57" s="9"/>
      <c r="O57" s="9"/>
      <c r="P57" s="43"/>
      <c r="Q57" s="48"/>
      <c r="R57" s="48"/>
      <c r="S57" s="48"/>
      <c r="T57" s="48"/>
      <c r="U57" s="48"/>
      <c r="V57" s="48"/>
      <c r="W57" s="48"/>
      <c r="X57" s="48"/>
      <c r="Y57" s="48"/>
      <c r="Z57" s="48"/>
      <c r="AA57" s="48"/>
      <c r="AB57" s="48"/>
      <c r="AC57" s="48"/>
      <c r="AD57" s="48"/>
      <c r="AE57" s="48"/>
      <c r="AF57" s="48"/>
      <c r="AG57" s="48"/>
      <c r="AH57" s="48"/>
      <c r="AI57" s="48"/>
      <c r="AJ57" s="48"/>
      <c r="AK57" s="48"/>
      <c r="AL57" s="48"/>
    </row>
    <row r="58" customFormat="false" ht="15" hidden="false" customHeight="false" outlineLevel="0" collapsed="false">
      <c r="A58" s="49"/>
      <c r="C58" s="8"/>
      <c r="D58" s="42"/>
      <c r="E58" s="43"/>
      <c r="F58" s="44"/>
      <c r="G58" s="44"/>
      <c r="H58" s="45"/>
      <c r="I58" s="46"/>
      <c r="J58" s="47"/>
      <c r="K58" s="9"/>
      <c r="L58" s="9"/>
      <c r="M58" s="43"/>
      <c r="N58" s="9"/>
      <c r="O58" s="9"/>
      <c r="P58" s="43"/>
      <c r="Q58" s="48"/>
      <c r="R58" s="48"/>
      <c r="S58" s="48"/>
      <c r="T58" s="48"/>
      <c r="U58" s="48"/>
      <c r="V58" s="48"/>
      <c r="W58" s="48"/>
      <c r="X58" s="48"/>
      <c r="Y58" s="48"/>
      <c r="Z58" s="48"/>
      <c r="AA58" s="48"/>
      <c r="AB58" s="48"/>
      <c r="AC58" s="48"/>
      <c r="AD58" s="48"/>
      <c r="AE58" s="48"/>
      <c r="AF58" s="48"/>
      <c r="AG58" s="48"/>
      <c r="AH58" s="48"/>
      <c r="AI58" s="48"/>
      <c r="AJ58" s="48"/>
      <c r="AK58" s="48"/>
      <c r="AL58" s="48"/>
    </row>
    <row r="59" customFormat="false" ht="15" hidden="false" customHeight="false" outlineLevel="0" collapsed="false">
      <c r="A59" s="49"/>
      <c r="C59" s="8"/>
      <c r="D59" s="42"/>
      <c r="E59" s="43"/>
      <c r="F59" s="44"/>
      <c r="G59" s="44"/>
      <c r="H59" s="45"/>
      <c r="I59" s="46"/>
      <c r="J59" s="47"/>
      <c r="K59" s="9"/>
      <c r="L59" s="9"/>
      <c r="M59" s="43"/>
      <c r="N59" s="9"/>
      <c r="O59" s="9"/>
      <c r="P59" s="43"/>
      <c r="Q59" s="48"/>
      <c r="R59" s="48"/>
      <c r="S59" s="48"/>
      <c r="T59" s="48"/>
      <c r="U59" s="48"/>
      <c r="V59" s="48"/>
      <c r="W59" s="48"/>
      <c r="X59" s="48"/>
      <c r="Y59" s="48"/>
      <c r="Z59" s="48"/>
      <c r="AA59" s="48"/>
      <c r="AB59" s="48"/>
      <c r="AC59" s="48"/>
      <c r="AD59" s="48"/>
      <c r="AE59" s="48"/>
      <c r="AF59" s="48"/>
      <c r="AG59" s="48"/>
      <c r="AH59" s="48"/>
      <c r="AI59" s="48"/>
      <c r="AJ59" s="48"/>
      <c r="AK59" s="48"/>
      <c r="AL59" s="48"/>
    </row>
    <row r="60" customFormat="false" ht="15" hidden="false" customHeight="false" outlineLevel="0" collapsed="false">
      <c r="A60" s="49"/>
      <c r="C60" s="8"/>
      <c r="D60" s="42"/>
      <c r="E60" s="43"/>
      <c r="F60" s="44"/>
      <c r="G60" s="44"/>
      <c r="H60" s="45"/>
      <c r="I60" s="46"/>
      <c r="J60" s="47"/>
      <c r="K60" s="9"/>
      <c r="L60" s="9"/>
      <c r="M60" s="43"/>
      <c r="N60" s="9"/>
      <c r="O60" s="9"/>
      <c r="P60" s="43"/>
      <c r="Q60" s="48"/>
      <c r="R60" s="48"/>
      <c r="S60" s="48"/>
      <c r="T60" s="48"/>
      <c r="U60" s="48"/>
      <c r="V60" s="48"/>
      <c r="W60" s="48"/>
      <c r="X60" s="48"/>
      <c r="Y60" s="48"/>
      <c r="Z60" s="48"/>
      <c r="AA60" s="48"/>
      <c r="AB60" s="48"/>
      <c r="AC60" s="48"/>
      <c r="AD60" s="48"/>
      <c r="AE60" s="48"/>
      <c r="AF60" s="48"/>
      <c r="AG60" s="48"/>
      <c r="AH60" s="48"/>
      <c r="AI60" s="48"/>
      <c r="AJ60" s="48"/>
      <c r="AK60" s="48"/>
      <c r="AL60" s="48"/>
    </row>
    <row r="61" customFormat="false" ht="15" hidden="false" customHeight="false" outlineLevel="0" collapsed="false">
      <c r="A61" s="49"/>
      <c r="C61" s="8"/>
      <c r="D61" s="42"/>
      <c r="E61" s="43"/>
      <c r="F61" s="44"/>
      <c r="G61" s="44"/>
      <c r="H61" s="45"/>
      <c r="I61" s="46"/>
      <c r="J61" s="47"/>
      <c r="K61" s="9"/>
      <c r="L61" s="9"/>
      <c r="M61" s="43"/>
      <c r="N61" s="9"/>
      <c r="O61" s="9"/>
      <c r="P61" s="43"/>
      <c r="Q61" s="48"/>
      <c r="R61" s="48"/>
      <c r="S61" s="48"/>
      <c r="T61" s="48"/>
      <c r="U61" s="48"/>
      <c r="V61" s="48"/>
      <c r="W61" s="48"/>
      <c r="X61" s="48"/>
      <c r="Y61" s="48"/>
      <c r="Z61" s="48"/>
      <c r="AA61" s="48"/>
      <c r="AB61" s="48"/>
      <c r="AC61" s="48"/>
      <c r="AD61" s="48"/>
      <c r="AE61" s="48"/>
      <c r="AF61" s="48"/>
      <c r="AG61" s="48"/>
      <c r="AH61" s="48"/>
      <c r="AI61" s="48"/>
      <c r="AJ61" s="48"/>
      <c r="AK61" s="48"/>
      <c r="AL61" s="48"/>
    </row>
    <row r="62" customFormat="false" ht="15" hidden="false" customHeight="false" outlineLevel="0" collapsed="false">
      <c r="A62" s="49"/>
      <c r="C62" s="8"/>
      <c r="D62" s="42"/>
      <c r="E62" s="43"/>
      <c r="F62" s="44"/>
      <c r="G62" s="44"/>
      <c r="H62" s="45"/>
      <c r="I62" s="46"/>
      <c r="J62" s="47"/>
      <c r="K62" s="9"/>
      <c r="L62" s="9"/>
      <c r="M62" s="43"/>
      <c r="N62" s="9"/>
      <c r="O62" s="9"/>
      <c r="P62" s="43"/>
      <c r="Q62" s="48"/>
      <c r="R62" s="48"/>
      <c r="S62" s="48"/>
      <c r="T62" s="48"/>
      <c r="U62" s="48"/>
      <c r="V62" s="48"/>
      <c r="W62" s="48"/>
      <c r="X62" s="48"/>
      <c r="Y62" s="48"/>
      <c r="Z62" s="48"/>
      <c r="AA62" s="48"/>
      <c r="AB62" s="48"/>
      <c r="AC62" s="48"/>
      <c r="AD62" s="48"/>
      <c r="AE62" s="48"/>
      <c r="AF62" s="48"/>
      <c r="AG62" s="48"/>
      <c r="AH62" s="48"/>
      <c r="AI62" s="48"/>
      <c r="AJ62" s="48"/>
      <c r="AK62" s="48"/>
      <c r="AL62" s="48"/>
    </row>
    <row r="63" customFormat="false" ht="15" hidden="false" customHeight="false" outlineLevel="0" collapsed="false">
      <c r="A63" s="49"/>
      <c r="C63" s="8"/>
      <c r="D63" s="42"/>
      <c r="E63" s="43"/>
      <c r="F63" s="44"/>
      <c r="G63" s="44"/>
      <c r="H63" s="45"/>
      <c r="I63" s="46"/>
      <c r="J63" s="47"/>
      <c r="K63" s="9"/>
      <c r="L63" s="9"/>
      <c r="M63" s="43"/>
      <c r="N63" s="9"/>
      <c r="O63" s="9"/>
      <c r="P63" s="43"/>
      <c r="Q63" s="48"/>
      <c r="R63" s="48"/>
      <c r="S63" s="48"/>
      <c r="T63" s="48"/>
      <c r="U63" s="48"/>
      <c r="V63" s="48"/>
      <c r="W63" s="48"/>
      <c r="X63" s="48"/>
      <c r="Y63" s="48"/>
      <c r="Z63" s="48"/>
      <c r="AA63" s="48"/>
      <c r="AB63" s="48"/>
      <c r="AC63" s="48"/>
      <c r="AD63" s="48"/>
      <c r="AE63" s="48"/>
      <c r="AF63" s="48"/>
      <c r="AG63" s="48"/>
      <c r="AH63" s="48"/>
      <c r="AI63" s="48"/>
      <c r="AJ63" s="48"/>
      <c r="AK63" s="48"/>
      <c r="AL63" s="48"/>
    </row>
    <row r="64" customFormat="false" ht="15" hidden="false" customHeight="false" outlineLevel="0" collapsed="false">
      <c r="A64" s="49"/>
      <c r="C64" s="8"/>
      <c r="D64" s="42"/>
      <c r="E64" s="43"/>
      <c r="F64" s="44"/>
      <c r="G64" s="44"/>
      <c r="H64" s="45"/>
      <c r="I64" s="46"/>
      <c r="J64" s="47"/>
      <c r="K64" s="9"/>
      <c r="L64" s="9"/>
      <c r="M64" s="43"/>
      <c r="N64" s="9"/>
      <c r="O64" s="9"/>
      <c r="P64" s="43"/>
      <c r="Q64" s="48"/>
      <c r="R64" s="48"/>
      <c r="S64" s="48"/>
      <c r="T64" s="48"/>
      <c r="U64" s="48"/>
      <c r="V64" s="48"/>
      <c r="W64" s="48"/>
      <c r="X64" s="48"/>
      <c r="Y64" s="48"/>
      <c r="Z64" s="48"/>
      <c r="AA64" s="48"/>
      <c r="AB64" s="48"/>
      <c r="AC64" s="48"/>
      <c r="AD64" s="48"/>
      <c r="AE64" s="48"/>
      <c r="AF64" s="48"/>
      <c r="AG64" s="48"/>
      <c r="AH64" s="48"/>
      <c r="AI64" s="48"/>
      <c r="AJ64" s="48"/>
      <c r="AK64" s="48"/>
      <c r="AL64" s="48"/>
    </row>
    <row r="65" customFormat="false" ht="15" hidden="false" customHeight="false" outlineLevel="0" collapsed="false">
      <c r="A65" s="49"/>
      <c r="C65" s="8"/>
      <c r="D65" s="42"/>
      <c r="E65" s="43"/>
      <c r="F65" s="44"/>
      <c r="G65" s="44"/>
      <c r="H65" s="45"/>
      <c r="I65" s="46"/>
      <c r="J65" s="47"/>
      <c r="K65" s="9"/>
      <c r="L65" s="9"/>
      <c r="M65" s="43"/>
      <c r="N65" s="9"/>
      <c r="O65" s="9"/>
      <c r="P65" s="43"/>
      <c r="Q65" s="48"/>
      <c r="R65" s="48"/>
      <c r="S65" s="48"/>
      <c r="T65" s="48"/>
      <c r="U65" s="48"/>
      <c r="V65" s="48"/>
      <c r="W65" s="48"/>
      <c r="X65" s="48"/>
      <c r="Y65" s="48"/>
      <c r="Z65" s="48"/>
      <c r="AA65" s="48"/>
      <c r="AB65" s="48"/>
      <c r="AC65" s="48"/>
      <c r="AD65" s="48"/>
      <c r="AE65" s="48"/>
      <c r="AF65" s="48"/>
      <c r="AG65" s="48"/>
      <c r="AH65" s="48"/>
      <c r="AI65" s="48"/>
      <c r="AJ65" s="48"/>
      <c r="AK65" s="48"/>
      <c r="AL65" s="48"/>
    </row>
    <row r="66" customFormat="false" ht="15" hidden="false" customHeight="false" outlineLevel="0" collapsed="false">
      <c r="A66" s="49"/>
      <c r="C66" s="8"/>
      <c r="D66" s="42"/>
      <c r="E66" s="43"/>
      <c r="F66" s="44"/>
      <c r="G66" s="44"/>
      <c r="H66" s="45"/>
      <c r="I66" s="46"/>
      <c r="J66" s="47"/>
      <c r="K66" s="9"/>
      <c r="L66" s="9"/>
      <c r="M66" s="43"/>
      <c r="N66" s="9"/>
      <c r="O66" s="9"/>
      <c r="P66" s="43"/>
      <c r="Q66" s="48"/>
      <c r="R66" s="48"/>
      <c r="S66" s="48"/>
      <c r="T66" s="48"/>
      <c r="U66" s="48"/>
      <c r="V66" s="48"/>
      <c r="W66" s="48"/>
      <c r="X66" s="48"/>
      <c r="Y66" s="48"/>
      <c r="Z66" s="48"/>
      <c r="AA66" s="48"/>
      <c r="AB66" s="48"/>
      <c r="AC66" s="48"/>
      <c r="AD66" s="48"/>
      <c r="AE66" s="48"/>
      <c r="AF66" s="48"/>
      <c r="AG66" s="48"/>
      <c r="AH66" s="48"/>
      <c r="AI66" s="48"/>
      <c r="AJ66" s="48"/>
      <c r="AK66" s="48"/>
      <c r="AL66" s="48"/>
    </row>
    <row r="67" customFormat="false" ht="15" hidden="false" customHeight="false" outlineLevel="0" collapsed="false">
      <c r="A67" s="49"/>
      <c r="C67" s="8"/>
      <c r="D67" s="42"/>
      <c r="E67" s="43"/>
      <c r="F67" s="44"/>
      <c r="G67" s="44"/>
      <c r="H67" s="45"/>
      <c r="I67" s="46"/>
      <c r="J67" s="47"/>
      <c r="K67" s="9"/>
      <c r="L67" s="9"/>
      <c r="M67" s="43"/>
      <c r="N67" s="9"/>
      <c r="O67" s="9"/>
      <c r="P67" s="43"/>
      <c r="Q67" s="48"/>
      <c r="R67" s="48"/>
      <c r="S67" s="48"/>
      <c r="T67" s="48"/>
      <c r="U67" s="48"/>
      <c r="V67" s="48"/>
      <c r="W67" s="48"/>
      <c r="X67" s="48"/>
      <c r="Y67" s="48"/>
      <c r="Z67" s="48"/>
      <c r="AA67" s="48"/>
      <c r="AB67" s="48"/>
      <c r="AC67" s="48"/>
      <c r="AD67" s="48"/>
      <c r="AE67" s="48"/>
      <c r="AF67" s="48"/>
      <c r="AG67" s="48"/>
      <c r="AH67" s="48"/>
      <c r="AI67" s="48"/>
      <c r="AJ67" s="48"/>
      <c r="AK67" s="48"/>
      <c r="AL67" s="48"/>
    </row>
    <row r="68" customFormat="false" ht="15" hidden="false" customHeight="false" outlineLevel="0" collapsed="false">
      <c r="A68" s="49"/>
      <c r="C68" s="8"/>
      <c r="D68" s="42"/>
      <c r="E68" s="43"/>
      <c r="F68" s="44"/>
      <c r="G68" s="44"/>
      <c r="H68" s="45"/>
      <c r="I68" s="46"/>
      <c r="J68" s="47"/>
      <c r="K68" s="9"/>
      <c r="L68" s="9"/>
      <c r="M68" s="43"/>
      <c r="N68" s="9"/>
      <c r="O68" s="9"/>
      <c r="P68" s="43"/>
      <c r="Q68" s="48"/>
      <c r="R68" s="48"/>
      <c r="S68" s="48"/>
      <c r="T68" s="48"/>
      <c r="U68" s="48"/>
      <c r="V68" s="48"/>
      <c r="W68" s="48"/>
      <c r="X68" s="48"/>
      <c r="Y68" s="48"/>
      <c r="Z68" s="48"/>
      <c r="AA68" s="48"/>
      <c r="AB68" s="48"/>
      <c r="AC68" s="48"/>
      <c r="AD68" s="48"/>
      <c r="AE68" s="48"/>
      <c r="AF68" s="48"/>
      <c r="AG68" s="48"/>
      <c r="AH68" s="48"/>
      <c r="AI68" s="48"/>
      <c r="AJ68" s="48"/>
      <c r="AK68" s="48"/>
      <c r="AL68" s="48"/>
    </row>
    <row r="69" customFormat="false" ht="15" hidden="false" customHeight="false" outlineLevel="0" collapsed="false">
      <c r="A69" s="49"/>
      <c r="C69" s="8"/>
      <c r="D69" s="42"/>
      <c r="E69" s="43"/>
      <c r="F69" s="44"/>
      <c r="G69" s="44"/>
      <c r="H69" s="45"/>
      <c r="I69" s="46"/>
      <c r="J69" s="47"/>
      <c r="K69" s="9"/>
      <c r="L69" s="9"/>
      <c r="M69" s="43"/>
      <c r="N69" s="9"/>
      <c r="O69" s="9"/>
      <c r="P69" s="43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</row>
    <row r="70" customFormat="false" ht="15" hidden="false" customHeight="false" outlineLevel="0" collapsed="false">
      <c r="A70" s="49"/>
      <c r="C70" s="8"/>
      <c r="D70" s="42"/>
      <c r="E70" s="43"/>
      <c r="F70" s="44"/>
      <c r="G70" s="44"/>
      <c r="H70" s="45"/>
      <c r="I70" s="46"/>
      <c r="J70" s="47"/>
      <c r="K70" s="9"/>
      <c r="L70" s="9"/>
      <c r="M70" s="43"/>
      <c r="N70" s="9"/>
      <c r="O70" s="9"/>
      <c r="P70" s="43"/>
      <c r="Q70" s="48"/>
      <c r="R70" s="48"/>
      <c r="S70" s="48"/>
      <c r="T70" s="48"/>
      <c r="U70" s="48"/>
      <c r="V70" s="48"/>
      <c r="W70" s="48"/>
      <c r="X70" s="48"/>
      <c r="Y70" s="48"/>
      <c r="Z70" s="48"/>
      <c r="AA70" s="48"/>
      <c r="AB70" s="48"/>
      <c r="AC70" s="48"/>
      <c r="AD70" s="48"/>
      <c r="AE70" s="48"/>
      <c r="AF70" s="48"/>
      <c r="AG70" s="48"/>
      <c r="AH70" s="48"/>
      <c r="AI70" s="48"/>
      <c r="AJ70" s="48"/>
      <c r="AK70" s="48"/>
      <c r="AL70" s="48"/>
    </row>
    <row r="71" customFormat="false" ht="15" hidden="false" customHeight="false" outlineLevel="0" collapsed="false">
      <c r="A71" s="49"/>
      <c r="C71" s="8"/>
      <c r="D71" s="42"/>
      <c r="E71" s="43"/>
      <c r="F71" s="44"/>
      <c r="G71" s="44"/>
      <c r="H71" s="45"/>
      <c r="I71" s="46"/>
      <c r="J71" s="47"/>
      <c r="K71" s="9"/>
      <c r="L71" s="9"/>
      <c r="M71" s="43"/>
      <c r="N71" s="9"/>
      <c r="O71" s="9"/>
      <c r="P71" s="43"/>
      <c r="Q71" s="48"/>
      <c r="R71" s="48"/>
      <c r="S71" s="48"/>
      <c r="T71" s="48"/>
      <c r="U71" s="48"/>
      <c r="V71" s="48"/>
      <c r="W71" s="48"/>
      <c r="X71" s="48"/>
      <c r="Y71" s="48"/>
      <c r="Z71" s="48"/>
      <c r="AA71" s="48"/>
      <c r="AB71" s="48"/>
      <c r="AC71" s="48"/>
      <c r="AD71" s="48"/>
      <c r="AE71" s="48"/>
      <c r="AF71" s="48"/>
      <c r="AG71" s="48"/>
      <c r="AH71" s="48"/>
      <c r="AI71" s="48"/>
      <c r="AJ71" s="48"/>
      <c r="AK71" s="48"/>
      <c r="AL71" s="48"/>
    </row>
    <row r="72" customFormat="false" ht="15" hidden="false" customHeight="false" outlineLevel="0" collapsed="false">
      <c r="A72" s="49"/>
      <c r="C72" s="8"/>
      <c r="D72" s="42"/>
      <c r="E72" s="43"/>
      <c r="F72" s="44"/>
      <c r="G72" s="44"/>
      <c r="H72" s="45"/>
      <c r="I72" s="46"/>
      <c r="J72" s="47"/>
      <c r="K72" s="9"/>
      <c r="L72" s="9"/>
      <c r="M72" s="43"/>
      <c r="N72" s="9"/>
      <c r="O72" s="9"/>
      <c r="P72" s="43"/>
      <c r="Q72" s="48"/>
      <c r="R72" s="48"/>
      <c r="S72" s="48"/>
      <c r="T72" s="48"/>
      <c r="U72" s="48"/>
      <c r="V72" s="48"/>
      <c r="W72" s="48"/>
      <c r="X72" s="48"/>
      <c r="Y72" s="48"/>
      <c r="Z72" s="48"/>
      <c r="AA72" s="48"/>
      <c r="AB72" s="48"/>
      <c r="AC72" s="48"/>
      <c r="AD72" s="48"/>
      <c r="AE72" s="48"/>
      <c r="AF72" s="48"/>
      <c r="AG72" s="48"/>
      <c r="AH72" s="48"/>
      <c r="AI72" s="48"/>
      <c r="AJ72" s="48"/>
      <c r="AK72" s="48"/>
      <c r="AL72" s="48"/>
    </row>
    <row r="73" customFormat="false" ht="15" hidden="false" customHeight="false" outlineLevel="0" collapsed="false">
      <c r="A73" s="49"/>
      <c r="C73" s="8"/>
      <c r="D73" s="42"/>
      <c r="E73" s="43"/>
      <c r="F73" s="44"/>
      <c r="G73" s="44"/>
      <c r="H73" s="45"/>
      <c r="I73" s="46"/>
      <c r="J73" s="47"/>
      <c r="K73" s="9"/>
      <c r="L73" s="9"/>
      <c r="M73" s="43"/>
      <c r="N73" s="9"/>
      <c r="O73" s="9"/>
      <c r="P73" s="43"/>
      <c r="Q73" s="48"/>
      <c r="R73" s="48"/>
      <c r="S73" s="48"/>
      <c r="T73" s="48"/>
      <c r="U73" s="48"/>
      <c r="V73" s="48"/>
      <c r="W73" s="48"/>
      <c r="X73" s="48"/>
      <c r="Y73" s="48"/>
      <c r="Z73" s="48"/>
      <c r="AA73" s="48"/>
      <c r="AB73" s="48"/>
      <c r="AC73" s="48"/>
      <c r="AD73" s="48"/>
      <c r="AE73" s="48"/>
      <c r="AF73" s="48"/>
      <c r="AG73" s="48"/>
      <c r="AH73" s="48"/>
      <c r="AI73" s="48"/>
      <c r="AJ73" s="48"/>
      <c r="AK73" s="48"/>
      <c r="AL73" s="48"/>
    </row>
    <row r="74" customFormat="false" ht="15" hidden="false" customHeight="false" outlineLevel="0" collapsed="false">
      <c r="A74" s="49"/>
      <c r="C74" s="8"/>
      <c r="D74" s="42"/>
      <c r="E74" s="43"/>
      <c r="F74" s="44"/>
      <c r="G74" s="44"/>
      <c r="H74" s="45"/>
      <c r="I74" s="46"/>
      <c r="J74" s="47"/>
      <c r="K74" s="9"/>
      <c r="L74" s="9"/>
      <c r="M74" s="43"/>
      <c r="N74" s="9"/>
      <c r="O74" s="9"/>
      <c r="P74" s="43"/>
      <c r="Q74" s="48"/>
      <c r="R74" s="48"/>
      <c r="S74" s="48"/>
      <c r="T74" s="48"/>
      <c r="U74" s="48"/>
      <c r="V74" s="48"/>
      <c r="W74" s="48"/>
      <c r="X74" s="48"/>
      <c r="Y74" s="48"/>
      <c r="Z74" s="48"/>
      <c r="AA74" s="48"/>
      <c r="AB74" s="48"/>
      <c r="AC74" s="48"/>
      <c r="AD74" s="48"/>
      <c r="AE74" s="48"/>
      <c r="AF74" s="48"/>
      <c r="AG74" s="48"/>
      <c r="AH74" s="48"/>
      <c r="AI74" s="48"/>
      <c r="AJ74" s="48"/>
      <c r="AK74" s="48"/>
      <c r="AL74" s="48"/>
    </row>
    <row r="75" customFormat="false" ht="15" hidden="false" customHeight="false" outlineLevel="0" collapsed="false">
      <c r="A75" s="49"/>
      <c r="C75" s="8"/>
      <c r="D75" s="42"/>
      <c r="E75" s="43"/>
      <c r="F75" s="44"/>
      <c r="G75" s="44"/>
      <c r="H75" s="45"/>
      <c r="I75" s="46"/>
      <c r="J75" s="47"/>
      <c r="K75" s="9"/>
      <c r="L75" s="9"/>
      <c r="M75" s="43"/>
      <c r="N75" s="9"/>
      <c r="O75" s="9"/>
      <c r="P75" s="43"/>
      <c r="Q75" s="48"/>
      <c r="R75" s="48"/>
      <c r="S75" s="48"/>
      <c r="T75" s="48"/>
      <c r="U75" s="48"/>
      <c r="V75" s="48"/>
      <c r="W75" s="48"/>
      <c r="X75" s="48"/>
      <c r="Y75" s="48"/>
      <c r="Z75" s="48"/>
      <c r="AA75" s="48"/>
      <c r="AB75" s="48"/>
      <c r="AC75" s="48"/>
      <c r="AD75" s="48"/>
      <c r="AE75" s="48"/>
      <c r="AF75" s="48"/>
      <c r="AG75" s="48"/>
      <c r="AH75" s="48"/>
      <c r="AI75" s="48"/>
      <c r="AJ75" s="48"/>
      <c r="AK75" s="48"/>
      <c r="AL75" s="48"/>
    </row>
    <row r="76" customFormat="false" ht="15" hidden="false" customHeight="false" outlineLevel="0" collapsed="false">
      <c r="A76" s="49"/>
      <c r="C76" s="8"/>
      <c r="D76" s="42"/>
      <c r="E76" s="43"/>
      <c r="F76" s="44"/>
      <c r="G76" s="44"/>
      <c r="H76" s="45"/>
      <c r="I76" s="46"/>
      <c r="J76" s="47"/>
      <c r="K76" s="9"/>
      <c r="L76" s="9"/>
      <c r="M76" s="43"/>
      <c r="N76" s="9"/>
      <c r="O76" s="9"/>
      <c r="P76" s="43"/>
      <c r="Q76" s="48"/>
      <c r="R76" s="48"/>
      <c r="S76" s="48"/>
      <c r="T76" s="48"/>
      <c r="U76" s="48"/>
      <c r="V76" s="48"/>
      <c r="W76" s="48"/>
      <c r="X76" s="48"/>
      <c r="Y76" s="48"/>
      <c r="Z76" s="48"/>
      <c r="AA76" s="48"/>
      <c r="AB76" s="48"/>
      <c r="AC76" s="48"/>
      <c r="AD76" s="48"/>
      <c r="AE76" s="48"/>
      <c r="AF76" s="48"/>
      <c r="AG76" s="48"/>
      <c r="AH76" s="48"/>
      <c r="AI76" s="48"/>
      <c r="AJ76" s="48"/>
      <c r="AK76" s="48"/>
      <c r="AL76" s="48"/>
    </row>
    <row r="77" customFormat="false" ht="15" hidden="false" customHeight="false" outlineLevel="0" collapsed="false">
      <c r="A77" s="49"/>
      <c r="C77" s="8"/>
      <c r="D77" s="42"/>
      <c r="E77" s="43"/>
      <c r="F77" s="44"/>
      <c r="G77" s="44"/>
      <c r="H77" s="45"/>
      <c r="I77" s="46"/>
      <c r="J77" s="47"/>
      <c r="K77" s="9"/>
      <c r="L77" s="9"/>
      <c r="M77" s="43"/>
      <c r="N77" s="9"/>
      <c r="O77" s="9"/>
      <c r="P77" s="43"/>
      <c r="Q77" s="48"/>
      <c r="R77" s="48"/>
      <c r="S77" s="48"/>
      <c r="T77" s="48"/>
      <c r="U77" s="48"/>
      <c r="V77" s="48"/>
      <c r="W77" s="48"/>
      <c r="X77" s="48"/>
      <c r="Y77" s="48"/>
      <c r="Z77" s="48"/>
      <c r="AA77" s="48"/>
      <c r="AB77" s="48"/>
      <c r="AC77" s="48"/>
      <c r="AD77" s="48"/>
      <c r="AE77" s="48"/>
      <c r="AF77" s="48"/>
      <c r="AG77" s="48"/>
      <c r="AH77" s="48"/>
      <c r="AI77" s="48"/>
      <c r="AJ77" s="48"/>
      <c r="AK77" s="48"/>
      <c r="AL77" s="48"/>
    </row>
    <row r="78" customFormat="false" ht="15" hidden="false" customHeight="false" outlineLevel="0" collapsed="false">
      <c r="A78" s="49"/>
      <c r="C78" s="8"/>
      <c r="D78" s="42"/>
      <c r="E78" s="43"/>
      <c r="F78" s="44"/>
      <c r="G78" s="44"/>
      <c r="H78" s="45"/>
      <c r="I78" s="46"/>
      <c r="J78" s="47"/>
      <c r="K78" s="9"/>
      <c r="L78" s="9"/>
      <c r="M78" s="43"/>
      <c r="N78" s="9"/>
      <c r="O78" s="9"/>
      <c r="P78" s="43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</row>
    <row r="79" customFormat="false" ht="15" hidden="false" customHeight="false" outlineLevel="0" collapsed="false">
      <c r="A79" s="49"/>
      <c r="C79" s="8"/>
      <c r="D79" s="42"/>
      <c r="E79" s="43"/>
      <c r="F79" s="44"/>
      <c r="G79" s="44"/>
      <c r="H79" s="45"/>
      <c r="I79" s="46"/>
      <c r="J79" s="47"/>
      <c r="K79" s="9"/>
      <c r="L79" s="9"/>
      <c r="M79" s="43"/>
      <c r="N79" s="9"/>
      <c r="O79" s="9"/>
      <c r="P79" s="43"/>
      <c r="Q79" s="48"/>
      <c r="R79" s="48"/>
      <c r="S79" s="48"/>
      <c r="T79" s="48"/>
      <c r="U79" s="48"/>
      <c r="V79" s="48"/>
      <c r="W79" s="48"/>
      <c r="X79" s="48"/>
      <c r="Y79" s="48"/>
      <c r="Z79" s="48"/>
      <c r="AA79" s="48"/>
      <c r="AB79" s="48"/>
      <c r="AC79" s="48"/>
      <c r="AD79" s="48"/>
      <c r="AE79" s="48"/>
      <c r="AF79" s="48"/>
      <c r="AG79" s="48"/>
      <c r="AH79" s="48"/>
      <c r="AI79" s="48"/>
      <c r="AJ79" s="48"/>
      <c r="AK79" s="48"/>
      <c r="AL79" s="48"/>
    </row>
    <row r="80" customFormat="false" ht="15" hidden="false" customHeight="false" outlineLevel="0" collapsed="false">
      <c r="A80" s="49"/>
      <c r="C80" s="8"/>
      <c r="D80" s="42"/>
      <c r="E80" s="43"/>
      <c r="F80" s="44"/>
      <c r="G80" s="44"/>
      <c r="H80" s="45"/>
      <c r="I80" s="46"/>
      <c r="J80" s="47"/>
      <c r="K80" s="9"/>
      <c r="L80" s="9"/>
      <c r="M80" s="43"/>
      <c r="N80" s="9"/>
      <c r="O80" s="9"/>
      <c r="P80" s="43"/>
      <c r="Q80" s="48"/>
      <c r="R80" s="48"/>
      <c r="S80" s="48"/>
      <c r="T80" s="48"/>
      <c r="U80" s="48"/>
      <c r="V80" s="48"/>
      <c r="W80" s="48"/>
      <c r="X80" s="48"/>
      <c r="Y80" s="48"/>
      <c r="Z80" s="48"/>
      <c r="AA80" s="48"/>
      <c r="AB80" s="48"/>
      <c r="AC80" s="48"/>
      <c r="AD80" s="48"/>
      <c r="AE80" s="48"/>
      <c r="AF80" s="48"/>
      <c r="AG80" s="48"/>
      <c r="AH80" s="48"/>
      <c r="AI80" s="48"/>
      <c r="AJ80" s="48"/>
      <c r="AK80" s="48"/>
      <c r="AL80" s="4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89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pane xSplit="0" ySplit="5" topLeftCell="A30" activePane="bottomLeft" state="frozen"/>
      <selection pane="topLeft" activeCell="A1" activeCellId="0" sqref="A1"/>
      <selection pane="bottomLeft" activeCell="D39" activeCellId="0" sqref="D39"/>
    </sheetView>
  </sheetViews>
  <sheetFormatPr defaultColWidth="8.664062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15"/>
    <col collapsed="false" customWidth="true" hidden="false" outlineLevel="0" max="4" min="4" style="0" width="42"/>
    <col collapsed="false" customWidth="true" hidden="false" outlineLevel="0" max="5" min="5" style="0" width="12"/>
    <col collapsed="false" customWidth="true" hidden="true" outlineLevel="0" max="7" min="6" style="0" width="13"/>
    <col collapsed="false" customWidth="true" hidden="true" outlineLevel="0" max="9" min="8" style="0" width="14.78"/>
    <col collapsed="false" customWidth="true" hidden="true" outlineLevel="0" max="13" min="10" style="0" width="12"/>
    <col collapsed="false" customWidth="true" hidden="true" outlineLevel="0" max="14" min="14" style="0" width="11.11"/>
    <col collapsed="false" customWidth="true" hidden="false" outlineLevel="0" max="15" min="15" style="0" width="60"/>
  </cols>
  <sheetData>
    <row r="1" customFormat="false" ht="17.25" hidden="false" customHeight="true" outlineLevel="0" collapsed="false">
      <c r="A1" s="29" t="s">
        <v>96</v>
      </c>
      <c r="H1" s="52" t="s">
        <v>97</v>
      </c>
      <c r="I1" s="52" t="s">
        <v>98</v>
      </c>
      <c r="J1" s="52" t="s">
        <v>99</v>
      </c>
      <c r="K1" s="52" t="s">
        <v>100</v>
      </c>
      <c r="L1" s="52" t="s">
        <v>101</v>
      </c>
    </row>
    <row r="2" customFormat="false" ht="14.25" hidden="false" customHeight="false" outlineLevel="0" collapsed="false">
      <c r="A2" s="53" t="s">
        <v>102</v>
      </c>
      <c r="B2" s="53" t="s">
        <v>103</v>
      </c>
      <c r="E2" s="54" t="s">
        <v>104</v>
      </c>
      <c r="F2" s="55" t="n">
        <f aca="false">'Schedule Logic'!C3</f>
        <v>46300</v>
      </c>
    </row>
    <row r="3" customFormat="false" ht="14.25" hidden="false" customHeight="false" outlineLevel="0" collapsed="false">
      <c r="A3" s="56" t="s">
        <v>105</v>
      </c>
    </row>
    <row r="4" customFormat="false" ht="14.25" hidden="false" customHeight="false" outlineLevel="0" collapsed="false">
      <c r="A4" s="57" t="s">
        <v>106</v>
      </c>
    </row>
    <row r="5" customFormat="false" ht="14.25" hidden="false" customHeight="false" outlineLevel="0" collapsed="false">
      <c r="A5" s="58" t="s">
        <v>107</v>
      </c>
      <c r="B5" s="58" t="s">
        <v>108</v>
      </c>
      <c r="C5" s="58" t="s">
        <v>109</v>
      </c>
      <c r="D5" s="58" t="s">
        <v>110</v>
      </c>
      <c r="E5" s="58" t="s">
        <v>17</v>
      </c>
      <c r="F5" s="58" t="s">
        <v>111</v>
      </c>
      <c r="G5" s="58" t="s">
        <v>112</v>
      </c>
      <c r="H5" s="58" t="s">
        <v>113</v>
      </c>
      <c r="I5" s="58" t="s">
        <v>114</v>
      </c>
      <c r="J5" s="58" t="s">
        <v>115</v>
      </c>
      <c r="K5" s="58" t="s">
        <v>49</v>
      </c>
      <c r="L5" s="58" t="s">
        <v>116</v>
      </c>
      <c r="M5" s="58" t="s">
        <v>117</v>
      </c>
      <c r="N5" s="58" t="s">
        <v>118</v>
      </c>
      <c r="O5" s="58" t="s">
        <v>119</v>
      </c>
    </row>
    <row r="6" customFormat="false" ht="14.25" hidden="false" customHeight="false" outlineLevel="0" collapsed="false">
      <c r="A6" s="59" t="s">
        <v>120</v>
      </c>
      <c r="B6" s="59"/>
      <c r="C6" s="59"/>
      <c r="D6" s="59"/>
      <c r="E6" s="59"/>
      <c r="F6" s="59"/>
      <c r="G6" s="59"/>
      <c r="H6" s="59"/>
      <c r="I6" s="59"/>
      <c r="J6" s="59"/>
      <c r="K6" s="59"/>
      <c r="L6" s="59"/>
      <c r="M6" s="59"/>
      <c r="N6" s="59"/>
      <c r="O6" s="59"/>
    </row>
    <row r="7" customFormat="false" ht="26.25" hidden="false" customHeight="true" outlineLevel="0" collapsed="false">
      <c r="A7" s="60" t="n">
        <v>1</v>
      </c>
      <c r="B7" s="61" t="s">
        <v>18</v>
      </c>
      <c r="C7" s="61" t="s">
        <v>121</v>
      </c>
      <c r="D7" s="62" t="s">
        <v>122</v>
      </c>
      <c r="E7" s="63" t="s">
        <v>123</v>
      </c>
      <c r="F7" s="64" t="n">
        <f aca="false">'Schedule Logic'!G9</f>
        <v>46307</v>
      </c>
      <c r="G7" s="64" t="n">
        <f aca="false">'Schedule Logic'!H9</f>
        <v>46325</v>
      </c>
      <c r="H7" s="65" t="n">
        <f aca="false">'Schedule Logic'!I9</f>
        <v>60</v>
      </c>
      <c r="I7" s="66" t="n">
        <v>0</v>
      </c>
      <c r="J7" s="67" t="s">
        <v>124</v>
      </c>
      <c r="K7" s="68"/>
      <c r="L7" s="69"/>
      <c r="M7" s="69"/>
      <c r="N7" s="61"/>
      <c r="O7" s="62" t="s">
        <v>125</v>
      </c>
    </row>
    <row r="8" customFormat="false" ht="14.25" hidden="false" customHeight="false" outlineLevel="0" collapsed="false">
      <c r="A8" s="60" t="n">
        <v>2</v>
      </c>
      <c r="B8" s="61" t="s">
        <v>18</v>
      </c>
      <c r="C8" s="61" t="s">
        <v>121</v>
      </c>
      <c r="D8" s="62" t="s">
        <v>126</v>
      </c>
      <c r="E8" s="63" t="s">
        <v>123</v>
      </c>
      <c r="F8" s="64" t="n">
        <f aca="false">'Schedule Logic'!G7</f>
        <v>46300</v>
      </c>
      <c r="G8" s="64" t="n">
        <f aca="false">'Schedule Logic'!H7</f>
        <v>46311</v>
      </c>
      <c r="H8" s="65" t="n">
        <f aca="false">'Schedule Logic'!I7</f>
        <v>40</v>
      </c>
      <c r="I8" s="66" t="n">
        <v>0</v>
      </c>
      <c r="J8" s="67"/>
      <c r="K8" s="68"/>
      <c r="L8" s="69"/>
      <c r="M8" s="69"/>
      <c r="N8" s="61"/>
      <c r="O8" s="62" t="s">
        <v>127</v>
      </c>
    </row>
    <row r="9" customFormat="false" ht="14.25" hidden="false" customHeight="false" outlineLevel="0" collapsed="false">
      <c r="A9" s="60" t="n">
        <v>3</v>
      </c>
      <c r="B9" s="61" t="s">
        <v>18</v>
      </c>
      <c r="C9" s="61" t="s">
        <v>121</v>
      </c>
      <c r="D9" s="62" t="s">
        <v>128</v>
      </c>
      <c r="E9" s="63" t="s">
        <v>123</v>
      </c>
      <c r="F9" s="64" t="n">
        <f aca="false">'Schedule Logic'!G10</f>
        <v>46328</v>
      </c>
      <c r="G9" s="64" t="n">
        <f aca="false">'Schedule Logic'!H10</f>
        <v>46332</v>
      </c>
      <c r="H9" s="65" t="n">
        <f aca="false">'Schedule Logic'!I10</f>
        <v>6</v>
      </c>
      <c r="I9" s="66" t="n">
        <v>0</v>
      </c>
      <c r="J9" s="67"/>
      <c r="K9" s="68"/>
      <c r="L9" s="69"/>
      <c r="M9" s="69"/>
      <c r="N9" s="61"/>
      <c r="O9" s="62"/>
    </row>
    <row r="10" customFormat="false" ht="39" hidden="false" customHeight="true" outlineLevel="0" collapsed="false">
      <c r="A10" s="60"/>
      <c r="B10" s="61" t="s">
        <v>18</v>
      </c>
      <c r="C10" s="61" t="s">
        <v>121</v>
      </c>
      <c r="D10" s="62" t="s">
        <v>129</v>
      </c>
      <c r="E10" s="63" t="s">
        <v>123</v>
      </c>
      <c r="F10" s="64" t="n">
        <f aca="false">'Schedule Logic'!G11</f>
        <v>46314</v>
      </c>
      <c r="G10" s="64" t="n">
        <f aca="false">'Schedule Logic'!H11</f>
        <v>46332</v>
      </c>
      <c r="H10" s="65" t="n">
        <f aca="false">'Schedule Logic'!I11</f>
        <v>24</v>
      </c>
      <c r="I10" s="66" t="n">
        <v>0</v>
      </c>
      <c r="J10" s="67"/>
      <c r="K10" s="68"/>
      <c r="L10" s="69"/>
      <c r="M10" s="69"/>
      <c r="N10" s="61"/>
      <c r="O10" s="62" t="s">
        <v>130</v>
      </c>
    </row>
    <row r="11" customFormat="false" ht="14.25" hidden="false" customHeight="false" outlineLevel="0" collapsed="false">
      <c r="A11" s="60" t="n">
        <v>4</v>
      </c>
      <c r="B11" s="61" t="s">
        <v>18</v>
      </c>
      <c r="C11" s="61" t="s">
        <v>121</v>
      </c>
      <c r="D11" s="62" t="s">
        <v>131</v>
      </c>
      <c r="E11" s="70" t="s">
        <v>132</v>
      </c>
      <c r="F11" s="69"/>
      <c r="G11" s="69"/>
      <c r="H11" s="69"/>
      <c r="I11" s="66" t="n">
        <v>1</v>
      </c>
      <c r="J11" s="67"/>
      <c r="K11" s="68"/>
      <c r="L11" s="69"/>
      <c r="M11" s="69"/>
      <c r="N11" s="61"/>
      <c r="O11" s="62"/>
    </row>
    <row r="12" customFormat="false" ht="14.25" hidden="false" customHeight="false" outlineLevel="0" collapsed="false">
      <c r="A12" s="60" t="n">
        <v>5</v>
      </c>
      <c r="B12" s="71" t="s">
        <v>18</v>
      </c>
      <c r="C12" s="71" t="s">
        <v>121</v>
      </c>
      <c r="D12" s="72" t="s">
        <v>133</v>
      </c>
      <c r="E12" s="63" t="s">
        <v>123</v>
      </c>
      <c r="F12" s="64" t="n">
        <f aca="false">'Schedule Logic'!G12</f>
        <v>46314</v>
      </c>
      <c r="G12" s="64" t="n">
        <f aca="false">'Schedule Logic'!H12</f>
        <v>46332</v>
      </c>
      <c r="H12" s="65" t="n">
        <f aca="false">'Schedule Logic'!I12</f>
        <v>3</v>
      </c>
      <c r="I12" s="66" t="n">
        <v>0</v>
      </c>
      <c r="J12" s="73" t="s">
        <v>124</v>
      </c>
      <c r="K12" s="74"/>
      <c r="L12" s="75"/>
      <c r="M12" s="75"/>
      <c r="N12" s="71"/>
      <c r="O12" s="72"/>
    </row>
    <row r="13" customFormat="false" ht="14.25" hidden="false" customHeight="false" outlineLevel="0" collapsed="false">
      <c r="A13" s="60" t="n">
        <v>6</v>
      </c>
      <c r="B13" s="61" t="s">
        <v>18</v>
      </c>
      <c r="C13" s="61" t="s">
        <v>121</v>
      </c>
      <c r="D13" s="62" t="s">
        <v>134</v>
      </c>
      <c r="E13" s="63" t="s">
        <v>123</v>
      </c>
      <c r="F13" s="64" t="n">
        <f aca="false">'Schedule Logic'!G13</f>
        <v>46314</v>
      </c>
      <c r="G13" s="64" t="n">
        <f aca="false">'Schedule Logic'!H13</f>
        <v>46332</v>
      </c>
      <c r="H13" s="65" t="n">
        <f aca="false">'Schedule Logic'!I13</f>
        <v>3</v>
      </c>
      <c r="I13" s="66" t="n">
        <v>0</v>
      </c>
      <c r="J13" s="67" t="s">
        <v>124</v>
      </c>
      <c r="K13" s="68"/>
      <c r="L13" s="69"/>
      <c r="M13" s="69"/>
      <c r="N13" s="61"/>
      <c r="O13" s="62"/>
    </row>
    <row r="14" customFormat="false" ht="14.25" hidden="false" customHeight="false" outlineLevel="0" collapsed="false">
      <c r="A14" s="60" t="n">
        <v>7</v>
      </c>
      <c r="B14" s="71" t="s">
        <v>18</v>
      </c>
      <c r="C14" s="71" t="s">
        <v>121</v>
      </c>
      <c r="D14" s="72" t="s">
        <v>135</v>
      </c>
      <c r="E14" s="63" t="s">
        <v>123</v>
      </c>
      <c r="F14" s="64" t="n">
        <f aca="false">'Schedule Logic'!G14</f>
        <v>46314</v>
      </c>
      <c r="G14" s="64" t="n">
        <f aca="false">'Schedule Logic'!H14</f>
        <v>46332</v>
      </c>
      <c r="H14" s="65" t="n">
        <f aca="false">'Schedule Logic'!I14</f>
        <v>3</v>
      </c>
      <c r="I14" s="66" t="n">
        <v>0</v>
      </c>
      <c r="J14" s="73" t="s">
        <v>124</v>
      </c>
      <c r="K14" s="74"/>
      <c r="L14" s="75"/>
      <c r="M14" s="75"/>
      <c r="N14" s="71"/>
      <c r="O14" s="72"/>
    </row>
    <row r="15" customFormat="false" ht="14.25" hidden="false" customHeight="false" outlineLevel="0" collapsed="false">
      <c r="A15" s="60" t="n">
        <v>8</v>
      </c>
      <c r="B15" s="71" t="s">
        <v>18</v>
      </c>
      <c r="C15" s="71" t="s">
        <v>121</v>
      </c>
      <c r="D15" s="72" t="s">
        <v>136</v>
      </c>
      <c r="E15" s="63" t="s">
        <v>123</v>
      </c>
      <c r="F15" s="64" t="n">
        <f aca="false">'Schedule Logic'!G15</f>
        <v>46314</v>
      </c>
      <c r="G15" s="64" t="n">
        <f aca="false">'Schedule Logic'!H15</f>
        <v>46332</v>
      </c>
      <c r="H15" s="65" t="n">
        <f aca="false">'Schedule Logic'!I15</f>
        <v>3</v>
      </c>
      <c r="I15" s="66" t="n">
        <v>0</v>
      </c>
      <c r="J15" s="73"/>
      <c r="K15" s="74"/>
      <c r="L15" s="75"/>
      <c r="M15" s="75"/>
      <c r="N15" s="71"/>
      <c r="O15" s="72"/>
    </row>
    <row r="16" customFormat="false" ht="26.25" hidden="false" customHeight="true" outlineLevel="0" collapsed="false">
      <c r="A16" s="60" t="n">
        <v>9</v>
      </c>
      <c r="B16" s="71" t="s">
        <v>18</v>
      </c>
      <c r="C16" s="71" t="s">
        <v>121</v>
      </c>
      <c r="D16" s="72" t="s">
        <v>137</v>
      </c>
      <c r="E16" s="63" t="s">
        <v>123</v>
      </c>
      <c r="F16" s="64" t="n">
        <f aca="false">'Schedule Logic'!G8</f>
        <v>46300</v>
      </c>
      <c r="G16" s="64" t="n">
        <f aca="false">'Schedule Logic'!H8</f>
        <v>46301</v>
      </c>
      <c r="H16" s="65" t="n">
        <f aca="false">'Schedule Logic'!I8</f>
        <v>2</v>
      </c>
      <c r="I16" s="66" t="n">
        <v>0</v>
      </c>
      <c r="J16" s="73"/>
      <c r="K16" s="74"/>
      <c r="L16" s="75"/>
      <c r="M16" s="75"/>
      <c r="N16" s="71"/>
      <c r="O16" s="72" t="s">
        <v>138</v>
      </c>
    </row>
    <row r="17" customFormat="false" ht="52.5" hidden="false" customHeight="true" outlineLevel="0" collapsed="false">
      <c r="A17" s="60" t="n">
        <v>10</v>
      </c>
      <c r="B17" s="61" t="s">
        <v>18</v>
      </c>
      <c r="C17" s="61" t="s">
        <v>121</v>
      </c>
      <c r="D17" s="62" t="s">
        <v>139</v>
      </c>
      <c r="E17" s="63" t="s">
        <v>123</v>
      </c>
      <c r="F17" s="64" t="n">
        <f aca="false">'Schedule Logic'!G16</f>
        <v>46321</v>
      </c>
      <c r="G17" s="64" t="n">
        <f aca="false">'Schedule Logic'!H16</f>
        <v>46332</v>
      </c>
      <c r="H17" s="65" t="n">
        <f aca="false">'Schedule Logic'!I16</f>
        <v>6</v>
      </c>
      <c r="I17" s="66" t="n">
        <v>0</v>
      </c>
      <c r="J17" s="63"/>
      <c r="K17" s="68"/>
      <c r="L17" s="69"/>
      <c r="M17" s="69"/>
      <c r="N17" s="61"/>
      <c r="O17" s="62" t="s">
        <v>140</v>
      </c>
    </row>
    <row r="18" customFormat="false" ht="14.25" hidden="false" customHeight="false" outlineLevel="0" collapsed="false">
      <c r="A18" s="60" t="n">
        <v>11</v>
      </c>
      <c r="B18" s="61" t="s">
        <v>18</v>
      </c>
      <c r="C18" s="61" t="s">
        <v>121</v>
      </c>
      <c r="D18" s="62" t="s">
        <v>141</v>
      </c>
      <c r="E18" s="63" t="s">
        <v>123</v>
      </c>
      <c r="F18" s="64" t="n">
        <f aca="false">'Schedule Logic'!G17</f>
        <v>46321</v>
      </c>
      <c r="G18" s="64" t="n">
        <f aca="false">'Schedule Logic'!H17</f>
        <v>46332</v>
      </c>
      <c r="H18" s="65" t="n">
        <f aca="false">'Schedule Logic'!I17</f>
        <v>4</v>
      </c>
      <c r="I18" s="66" t="n">
        <v>0</v>
      </c>
      <c r="J18" s="63"/>
      <c r="K18" s="68"/>
      <c r="L18" s="69"/>
      <c r="M18" s="69"/>
      <c r="N18" s="61"/>
      <c r="O18" s="62" t="s">
        <v>142</v>
      </c>
    </row>
    <row r="19" customFormat="false" ht="14.25" hidden="false" customHeight="false" outlineLevel="0" collapsed="false">
      <c r="A19" s="60" t="n">
        <v>12</v>
      </c>
      <c r="B19" s="61" t="s">
        <v>18</v>
      </c>
      <c r="C19" s="61" t="s">
        <v>121</v>
      </c>
      <c r="D19" s="62" t="s">
        <v>143</v>
      </c>
      <c r="E19" s="63" t="s">
        <v>123</v>
      </c>
      <c r="F19" s="64" t="n">
        <f aca="false">'Schedule Logic'!G18</f>
        <v>46321</v>
      </c>
      <c r="G19" s="64" t="n">
        <f aca="false">'Schedule Logic'!H18</f>
        <v>46332</v>
      </c>
      <c r="H19" s="65" t="n">
        <f aca="false">'Schedule Logic'!I18</f>
        <v>3</v>
      </c>
      <c r="I19" s="66" t="n">
        <v>0</v>
      </c>
      <c r="J19" s="63"/>
      <c r="K19" s="68"/>
      <c r="L19" s="69"/>
      <c r="M19" s="69"/>
      <c r="N19" s="61"/>
      <c r="O19" s="62"/>
    </row>
    <row r="20" customFormat="false" ht="66" hidden="false" customHeight="true" outlineLevel="0" collapsed="false">
      <c r="A20" s="60" t="n">
        <v>13</v>
      </c>
      <c r="B20" s="61" t="s">
        <v>18</v>
      </c>
      <c r="C20" s="61" t="s">
        <v>121</v>
      </c>
      <c r="D20" s="62" t="s">
        <v>144</v>
      </c>
      <c r="E20" s="63" t="s">
        <v>123</v>
      </c>
      <c r="F20" s="64" t="n">
        <f aca="false">'Schedule Logic'!G20</f>
        <v>46339</v>
      </c>
      <c r="G20" s="64" t="n">
        <f aca="false">'Schedule Logic'!H20</f>
        <v>46343</v>
      </c>
      <c r="H20" s="65" t="n">
        <f aca="false">'Schedule Logic'!I20</f>
        <v>4</v>
      </c>
      <c r="I20" s="66" t="n">
        <v>0</v>
      </c>
      <c r="J20" s="63" t="s">
        <v>145</v>
      </c>
      <c r="K20" s="68" t="s">
        <v>146</v>
      </c>
      <c r="L20" s="69"/>
      <c r="M20" s="69"/>
      <c r="N20" s="61"/>
      <c r="O20" s="62" t="s">
        <v>147</v>
      </c>
    </row>
    <row r="21" customFormat="false" ht="26.25" hidden="false" customHeight="true" outlineLevel="0" collapsed="false">
      <c r="A21" s="60" t="n">
        <v>14</v>
      </c>
      <c r="B21" s="71" t="s">
        <v>18</v>
      </c>
      <c r="C21" s="71" t="s">
        <v>148</v>
      </c>
      <c r="D21" s="72" t="s">
        <v>149</v>
      </c>
      <c r="E21" s="63" t="s">
        <v>123</v>
      </c>
      <c r="F21" s="64" t="n">
        <f aca="false">'Schedule Logic'!G19</f>
        <v>46335</v>
      </c>
      <c r="G21" s="64" t="n">
        <f aca="false">'Schedule Logic'!H19</f>
        <v>46338</v>
      </c>
      <c r="H21" s="65" t="n">
        <f aca="false">'Schedule Logic'!I19</f>
        <v>12</v>
      </c>
      <c r="I21" s="66" t="n">
        <v>0</v>
      </c>
      <c r="J21" s="73" t="s">
        <v>124</v>
      </c>
      <c r="K21" s="74" t="s">
        <v>124</v>
      </c>
      <c r="L21" s="75"/>
      <c r="M21" s="75"/>
      <c r="N21" s="71"/>
      <c r="O21" s="72" t="s">
        <v>150</v>
      </c>
    </row>
    <row r="22" customFormat="false" ht="26.25" hidden="false" customHeight="true" outlineLevel="0" collapsed="false">
      <c r="A22" s="60" t="n">
        <v>15</v>
      </c>
      <c r="B22" s="71" t="s">
        <v>18</v>
      </c>
      <c r="C22" s="71" t="s">
        <v>148</v>
      </c>
      <c r="D22" s="72" t="s">
        <v>151</v>
      </c>
      <c r="E22" s="63" t="s">
        <v>123</v>
      </c>
      <c r="F22" s="64" t="n">
        <f aca="false">'Schedule Logic'!G21</f>
        <v>46339</v>
      </c>
      <c r="G22" s="64" t="n">
        <f aca="false">'Schedule Logic'!H21</f>
        <v>46370</v>
      </c>
      <c r="H22" s="65" t="n">
        <f aca="false">'Schedule Logic'!I21</f>
        <v>8</v>
      </c>
      <c r="I22" s="66" t="n">
        <v>0</v>
      </c>
      <c r="J22" s="73"/>
      <c r="K22" s="74"/>
      <c r="L22" s="75"/>
      <c r="M22" s="75"/>
      <c r="N22" s="71"/>
      <c r="O22" s="76" t="s">
        <v>152</v>
      </c>
    </row>
    <row r="23" customFormat="false" ht="14.25" hidden="false" customHeight="false" outlineLevel="0" collapsed="false">
      <c r="A23" s="60" t="n">
        <v>16</v>
      </c>
      <c r="B23" s="71" t="s">
        <v>18</v>
      </c>
      <c r="C23" s="71" t="s">
        <v>148</v>
      </c>
      <c r="D23" s="72" t="s">
        <v>153</v>
      </c>
      <c r="E23" s="77" t="s">
        <v>123</v>
      </c>
      <c r="F23" s="64" t="n">
        <f aca="false">'Schedule Logic'!G22</f>
        <v>46346</v>
      </c>
      <c r="G23" s="64" t="n">
        <f aca="false">'Schedule Logic'!H22</f>
        <v>46370</v>
      </c>
      <c r="H23" s="65" t="n">
        <f aca="false">'Schedule Logic'!I22</f>
        <v>4</v>
      </c>
      <c r="I23" s="66" t="n">
        <v>0</v>
      </c>
      <c r="J23" s="77" t="s">
        <v>154</v>
      </c>
      <c r="K23" s="74" t="s">
        <v>146</v>
      </c>
      <c r="L23" s="75"/>
      <c r="M23" s="75"/>
      <c r="N23" s="71"/>
      <c r="O23" s="76" t="s">
        <v>155</v>
      </c>
    </row>
    <row r="24" customFormat="false" ht="14.25" hidden="false" customHeight="false" outlineLevel="0" collapsed="false">
      <c r="A24" s="60" t="n">
        <v>17</v>
      </c>
      <c r="B24" s="61" t="s">
        <v>18</v>
      </c>
      <c r="C24" s="61" t="s">
        <v>148</v>
      </c>
      <c r="D24" s="62" t="s">
        <v>156</v>
      </c>
      <c r="E24" s="63" t="s">
        <v>123</v>
      </c>
      <c r="F24" s="64" t="n">
        <f aca="false">'Schedule Logic'!G23</f>
        <v>46346</v>
      </c>
      <c r="G24" s="64" t="n">
        <f aca="false">'Schedule Logic'!H23</f>
        <v>46370</v>
      </c>
      <c r="H24" s="65" t="n">
        <f aca="false">'Schedule Logic'!I23</f>
        <v>4</v>
      </c>
      <c r="I24" s="66" t="n">
        <v>0</v>
      </c>
      <c r="J24" s="63" t="s">
        <v>157</v>
      </c>
      <c r="K24" s="68" t="s">
        <v>146</v>
      </c>
      <c r="L24" s="69"/>
      <c r="M24" s="69"/>
      <c r="N24" s="61"/>
      <c r="O24" s="76" t="s">
        <v>158</v>
      </c>
    </row>
    <row r="25" customFormat="false" ht="14.25" hidden="false" customHeight="false" outlineLevel="0" collapsed="false">
      <c r="A25" s="60" t="n">
        <v>18</v>
      </c>
      <c r="B25" s="71" t="s">
        <v>18</v>
      </c>
      <c r="C25" s="71" t="s">
        <v>148</v>
      </c>
      <c r="D25" s="72" t="s">
        <v>159</v>
      </c>
      <c r="E25" s="77" t="s">
        <v>123</v>
      </c>
      <c r="F25" s="64" t="n">
        <f aca="false">'Schedule Logic'!G24</f>
        <v>46346</v>
      </c>
      <c r="G25" s="64" t="n">
        <f aca="false">'Schedule Logic'!H24</f>
        <v>46370</v>
      </c>
      <c r="H25" s="65" t="n">
        <f aca="false">'Schedule Logic'!I24</f>
        <v>4</v>
      </c>
      <c r="I25" s="66" t="n">
        <v>0</v>
      </c>
      <c r="J25" s="77" t="s">
        <v>160</v>
      </c>
      <c r="K25" s="74" t="s">
        <v>146</v>
      </c>
      <c r="L25" s="75"/>
      <c r="M25" s="75"/>
      <c r="N25" s="71"/>
      <c r="O25" s="76" t="s">
        <v>161</v>
      </c>
    </row>
    <row r="26" customFormat="false" ht="14.25" hidden="false" customHeight="false" outlineLevel="0" collapsed="false">
      <c r="A26" s="60" t="n">
        <v>19</v>
      </c>
      <c r="B26" s="61" t="s">
        <v>18</v>
      </c>
      <c r="C26" s="61" t="s">
        <v>148</v>
      </c>
      <c r="D26" s="62" t="s">
        <v>162</v>
      </c>
      <c r="E26" s="63" t="s">
        <v>123</v>
      </c>
      <c r="F26" s="64" t="n">
        <f aca="false">'Schedule Logic'!G25</f>
        <v>46339</v>
      </c>
      <c r="G26" s="64" t="n">
        <f aca="false">'Schedule Logic'!H25</f>
        <v>46356</v>
      </c>
      <c r="H26" s="65" t="n">
        <f aca="false">'Schedule Logic'!I25</f>
        <v>3</v>
      </c>
      <c r="I26" s="66" t="n">
        <v>0</v>
      </c>
      <c r="J26" s="63" t="s">
        <v>163</v>
      </c>
      <c r="K26" s="68" t="s">
        <v>164</v>
      </c>
      <c r="L26" s="69"/>
      <c r="M26" s="69"/>
      <c r="N26" s="61"/>
      <c r="O26" s="76" t="s">
        <v>165</v>
      </c>
    </row>
    <row r="27" customFormat="false" ht="14.25" hidden="false" customHeight="false" outlineLevel="0" collapsed="false">
      <c r="A27" s="60" t="n">
        <v>20</v>
      </c>
      <c r="B27" s="71" t="s">
        <v>18</v>
      </c>
      <c r="C27" s="71" t="s">
        <v>148</v>
      </c>
      <c r="D27" s="72" t="s">
        <v>166</v>
      </c>
      <c r="E27" s="77" t="s">
        <v>123</v>
      </c>
      <c r="F27" s="64" t="n">
        <f aca="false">'Schedule Logic'!G26</f>
        <v>46339</v>
      </c>
      <c r="G27" s="64" t="n">
        <f aca="false">'Schedule Logic'!H26</f>
        <v>46356</v>
      </c>
      <c r="H27" s="65" t="n">
        <f aca="false">'Schedule Logic'!I26</f>
        <v>3</v>
      </c>
      <c r="I27" s="66" t="n">
        <v>0</v>
      </c>
      <c r="J27" s="77" t="s">
        <v>167</v>
      </c>
      <c r="K27" s="74" t="s">
        <v>164</v>
      </c>
      <c r="L27" s="75"/>
      <c r="M27" s="75"/>
      <c r="N27" s="71"/>
      <c r="O27" s="76" t="s">
        <v>168</v>
      </c>
    </row>
    <row r="28" customFormat="false" ht="14.25" hidden="false" customHeight="false" outlineLevel="0" collapsed="false">
      <c r="A28" s="60" t="n">
        <v>21</v>
      </c>
      <c r="B28" s="71" t="s">
        <v>18</v>
      </c>
      <c r="C28" s="71" t="s">
        <v>148</v>
      </c>
      <c r="D28" s="72" t="s">
        <v>169</v>
      </c>
      <c r="E28" s="77" t="s">
        <v>123</v>
      </c>
      <c r="F28" s="64" t="n">
        <f aca="false">'Schedule Logic'!G27</f>
        <v>46339</v>
      </c>
      <c r="G28" s="64" t="n">
        <f aca="false">'Schedule Logic'!H27</f>
        <v>46356</v>
      </c>
      <c r="H28" s="65" t="n">
        <f aca="false">'Schedule Logic'!I27</f>
        <v>3</v>
      </c>
      <c r="I28" s="66" t="n">
        <v>0</v>
      </c>
      <c r="J28" s="77"/>
      <c r="K28" s="74"/>
      <c r="L28" s="75"/>
      <c r="M28" s="75"/>
      <c r="N28" s="71"/>
      <c r="O28" s="76" t="s">
        <v>170</v>
      </c>
    </row>
    <row r="29" customFormat="false" ht="14.25" hidden="false" customHeight="false" outlineLevel="0" collapsed="false">
      <c r="A29" s="60" t="n">
        <v>22</v>
      </c>
      <c r="B29" s="71" t="s">
        <v>18</v>
      </c>
      <c r="C29" s="71" t="s">
        <v>148</v>
      </c>
      <c r="D29" s="72" t="s">
        <v>171</v>
      </c>
      <c r="E29" s="77" t="s">
        <v>123</v>
      </c>
      <c r="F29" s="64" t="n">
        <f aca="false">'Schedule Logic'!G28</f>
        <v>46339</v>
      </c>
      <c r="G29" s="64" t="n">
        <f aca="false">'Schedule Logic'!H28</f>
        <v>46356</v>
      </c>
      <c r="H29" s="65" t="n">
        <f aca="false">'Schedule Logic'!I28</f>
        <v>3</v>
      </c>
      <c r="I29" s="66" t="n">
        <v>0</v>
      </c>
      <c r="J29" s="77"/>
      <c r="K29" s="74"/>
      <c r="L29" s="75"/>
      <c r="M29" s="75"/>
      <c r="N29" s="71"/>
      <c r="O29" s="76" t="s">
        <v>172</v>
      </c>
    </row>
    <row r="30" customFormat="false" ht="26.25" hidden="false" customHeight="true" outlineLevel="0" collapsed="false">
      <c r="A30" s="60" t="n">
        <v>23</v>
      </c>
      <c r="B30" s="61" t="s">
        <v>18</v>
      </c>
      <c r="C30" s="61" t="s">
        <v>121</v>
      </c>
      <c r="D30" s="62" t="s">
        <v>173</v>
      </c>
      <c r="E30" s="78" t="s">
        <v>174</v>
      </c>
      <c r="F30" s="64" t="n">
        <f aca="false">'Schedule Logic'!G29</f>
        <v>46300</v>
      </c>
      <c r="G30" s="64" t="n">
        <f aca="false">'Schedule Logic'!H29</f>
        <v>46413</v>
      </c>
      <c r="H30" s="65" t="n">
        <f aca="false">'Schedule Logic'!I29</f>
        <v>10</v>
      </c>
      <c r="I30" s="66" t="n">
        <v>0.9</v>
      </c>
      <c r="J30" s="79" t="s">
        <v>175</v>
      </c>
      <c r="K30" s="68"/>
      <c r="L30" s="69"/>
      <c r="M30" s="69"/>
      <c r="N30" s="61"/>
      <c r="O30" s="62" t="s">
        <v>176</v>
      </c>
    </row>
    <row r="31" customFormat="false" ht="14.25" hidden="false" customHeight="false" outlineLevel="0" collapsed="false">
      <c r="A31" s="60" t="n">
        <v>24</v>
      </c>
      <c r="B31" s="71" t="s">
        <v>18</v>
      </c>
      <c r="C31" s="71" t="s">
        <v>121</v>
      </c>
      <c r="D31" s="72" t="s">
        <v>177</v>
      </c>
      <c r="E31" s="78" t="s">
        <v>174</v>
      </c>
      <c r="F31" s="64" t="n">
        <f aca="false">'Schedule Logic'!G30</f>
        <v>46300</v>
      </c>
      <c r="G31" s="64" t="str">
        <f aca="false">'Schedule Logic'!H30</f>
        <v>Ongoing</v>
      </c>
      <c r="H31" s="65" t="n">
        <f aca="false">'Schedule Logic'!I30</f>
        <v>2</v>
      </c>
      <c r="I31" s="66"/>
      <c r="J31" s="73" t="s">
        <v>124</v>
      </c>
      <c r="K31" s="74"/>
      <c r="L31" s="75"/>
      <c r="M31" s="75"/>
      <c r="N31" s="71"/>
      <c r="O31" s="72" t="s">
        <v>178</v>
      </c>
    </row>
    <row r="32" customFormat="false" ht="14.25" hidden="false" customHeight="false" outlineLevel="0" collapsed="false">
      <c r="A32" s="59" t="s">
        <v>179</v>
      </c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</row>
    <row r="33" customFormat="false" ht="26.25" hidden="false" customHeight="true" outlineLevel="0" collapsed="false">
      <c r="A33" s="80" t="n">
        <v>52</v>
      </c>
      <c r="B33" s="71" t="s">
        <v>19</v>
      </c>
      <c r="C33" s="71" t="s">
        <v>121</v>
      </c>
      <c r="D33" s="72" t="s">
        <v>180</v>
      </c>
      <c r="E33" s="81" t="s">
        <v>132</v>
      </c>
      <c r="F33" s="81"/>
      <c r="G33" s="81"/>
      <c r="H33" s="81"/>
      <c r="I33" s="82" t="n">
        <v>1</v>
      </c>
      <c r="J33" s="73" t="s">
        <v>124</v>
      </c>
      <c r="K33" s="74"/>
      <c r="L33" s="75"/>
      <c r="M33" s="75"/>
      <c r="N33" s="71"/>
      <c r="O33" s="72" t="s">
        <v>181</v>
      </c>
    </row>
    <row r="34" customFormat="false" ht="26.25" hidden="false" customHeight="true" outlineLevel="0" collapsed="false">
      <c r="A34" s="60" t="n">
        <v>54</v>
      </c>
      <c r="B34" s="61" t="s">
        <v>19</v>
      </c>
      <c r="C34" s="61" t="s">
        <v>121</v>
      </c>
      <c r="D34" s="62" t="s">
        <v>182</v>
      </c>
      <c r="E34" s="70" t="s">
        <v>132</v>
      </c>
      <c r="F34" s="83"/>
      <c r="G34" s="83"/>
      <c r="H34" s="83"/>
      <c r="I34" s="84" t="n">
        <v>1</v>
      </c>
      <c r="J34" s="63" t="s">
        <v>183</v>
      </c>
      <c r="K34" s="68" t="s">
        <v>184</v>
      </c>
      <c r="L34" s="69"/>
      <c r="M34" s="69"/>
      <c r="N34" s="61"/>
      <c r="O34" s="62"/>
    </row>
    <row r="35" customFormat="false" ht="39" hidden="false" customHeight="true" outlineLevel="0" collapsed="false">
      <c r="A35" s="80" t="s">
        <v>185</v>
      </c>
      <c r="B35" s="71" t="s">
        <v>19</v>
      </c>
      <c r="C35" s="71" t="s">
        <v>121</v>
      </c>
      <c r="D35" s="72" t="s">
        <v>186</v>
      </c>
      <c r="E35" s="77" t="s">
        <v>123</v>
      </c>
      <c r="F35" s="85" t="n">
        <f aca="false">'Schedule Logic'!G32</f>
        <v>46300</v>
      </c>
      <c r="G35" s="85" t="n">
        <f aca="false">'Schedule Logic'!H32</f>
        <v>46301</v>
      </c>
      <c r="H35" s="86" t="n">
        <f aca="false">'Schedule Logic'!I32</f>
        <v>12</v>
      </c>
      <c r="I35" s="87" t="n">
        <v>0</v>
      </c>
      <c r="J35" s="88" t="s">
        <v>124</v>
      </c>
      <c r="K35" s="74" t="s">
        <v>164</v>
      </c>
      <c r="L35" s="75"/>
      <c r="M35" s="75"/>
      <c r="N35" s="71"/>
      <c r="O35" s="72" t="s">
        <v>187</v>
      </c>
    </row>
    <row r="36" customFormat="false" ht="39" hidden="false" customHeight="true" outlineLevel="0" collapsed="false">
      <c r="A36" s="60" t="s">
        <v>188</v>
      </c>
      <c r="B36" s="61" t="s">
        <v>19</v>
      </c>
      <c r="C36" s="61" t="s">
        <v>189</v>
      </c>
      <c r="D36" s="62" t="s">
        <v>190</v>
      </c>
      <c r="E36" s="63" t="s">
        <v>123</v>
      </c>
      <c r="F36" s="89" t="n">
        <f aca="false">'Schedule Logic'!G33</f>
        <v>46300</v>
      </c>
      <c r="G36" s="89" t="n">
        <f aca="false">'Schedule Logic'!H33</f>
        <v>46309</v>
      </c>
      <c r="H36" s="90" t="n">
        <f aca="false">'Schedule Logic'!I33</f>
        <v>8</v>
      </c>
      <c r="I36" s="91" t="n">
        <v>0</v>
      </c>
      <c r="J36" s="83" t="s">
        <v>124</v>
      </c>
      <c r="K36" s="68" t="s">
        <v>191</v>
      </c>
      <c r="L36" s="69"/>
      <c r="M36" s="69"/>
      <c r="N36" s="61"/>
      <c r="O36" s="62" t="s">
        <v>192</v>
      </c>
    </row>
    <row r="37" customFormat="false" ht="23.85" hidden="false" customHeight="false" outlineLevel="0" collapsed="false">
      <c r="A37" s="80" t="n">
        <v>56</v>
      </c>
      <c r="B37" s="71" t="s">
        <v>19</v>
      </c>
      <c r="C37" s="71" t="s">
        <v>121</v>
      </c>
      <c r="D37" s="72" t="s">
        <v>193</v>
      </c>
      <c r="E37" s="81" t="s">
        <v>123</v>
      </c>
      <c r="F37" s="92" t="n">
        <f aca="false">'Schedule Logic'!G34</f>
        <v>46302</v>
      </c>
      <c r="G37" s="92" t="n">
        <f aca="false">'Schedule Logic'!H34</f>
        <v>46311</v>
      </c>
      <c r="H37" s="93" t="n">
        <f aca="false">'Schedule Logic'!I34</f>
        <v>64</v>
      </c>
      <c r="I37" s="82" t="n">
        <v>0</v>
      </c>
      <c r="J37" s="73" t="s">
        <v>124</v>
      </c>
      <c r="K37" s="74" t="s">
        <v>194</v>
      </c>
      <c r="L37" s="75"/>
      <c r="M37" s="75"/>
      <c r="N37" s="71"/>
      <c r="O37" s="72" t="s">
        <v>195</v>
      </c>
    </row>
    <row r="38" customFormat="false" ht="23.85" hidden="false" customHeight="false" outlineLevel="0" collapsed="false">
      <c r="A38" s="60" t="n">
        <v>53</v>
      </c>
      <c r="B38" s="61" t="s">
        <v>19</v>
      </c>
      <c r="C38" s="61" t="s">
        <v>121</v>
      </c>
      <c r="D38" s="62" t="s">
        <v>196</v>
      </c>
      <c r="E38" s="70" t="s">
        <v>123</v>
      </c>
      <c r="F38" s="94" t="n">
        <f aca="false">'Schedule Logic'!G35</f>
        <v>46371</v>
      </c>
      <c r="G38" s="94" t="n">
        <f aca="false">'Schedule Logic'!H35</f>
        <v>46377</v>
      </c>
      <c r="H38" s="95" t="n">
        <f aca="false">'Schedule Logic'!I35</f>
        <v>60</v>
      </c>
      <c r="I38" s="96" t="n">
        <v>0</v>
      </c>
      <c r="J38" s="67" t="s">
        <v>124</v>
      </c>
      <c r="K38" s="68" t="s">
        <v>184</v>
      </c>
      <c r="L38" s="69"/>
      <c r="M38" s="69"/>
      <c r="N38" s="61"/>
      <c r="O38" s="62" t="s">
        <v>197</v>
      </c>
    </row>
    <row r="39" customFormat="false" ht="39" hidden="false" customHeight="true" outlineLevel="0" collapsed="false">
      <c r="A39" s="80" t="s">
        <v>198</v>
      </c>
      <c r="B39" s="71" t="s">
        <v>19</v>
      </c>
      <c r="C39" s="71" t="s">
        <v>189</v>
      </c>
      <c r="D39" s="72" t="s">
        <v>199</v>
      </c>
      <c r="E39" s="77" t="s">
        <v>123</v>
      </c>
      <c r="F39" s="85" t="n">
        <f aca="false">'Schedule Logic'!G36</f>
        <v>46377</v>
      </c>
      <c r="G39" s="85" t="n">
        <f aca="false">'Schedule Logic'!H36</f>
        <v>46379</v>
      </c>
      <c r="H39" s="86" t="n">
        <f aca="false">'Schedule Logic'!I36</f>
        <v>16</v>
      </c>
      <c r="I39" s="87" t="n">
        <v>0</v>
      </c>
      <c r="J39" s="88" t="s">
        <v>124</v>
      </c>
      <c r="K39" s="74" t="s">
        <v>184</v>
      </c>
      <c r="L39" s="75"/>
      <c r="M39" s="75"/>
      <c r="N39" s="71"/>
      <c r="O39" s="72" t="s">
        <v>200</v>
      </c>
    </row>
    <row r="40" customFormat="false" ht="26.25" hidden="false" customHeight="true" outlineLevel="0" collapsed="false">
      <c r="A40" s="60" t="n">
        <v>57</v>
      </c>
      <c r="B40" s="61" t="s">
        <v>19</v>
      </c>
      <c r="C40" s="61" t="s">
        <v>121</v>
      </c>
      <c r="D40" s="62" t="s">
        <v>201</v>
      </c>
      <c r="E40" s="63" t="s">
        <v>123</v>
      </c>
      <c r="F40" s="89" t="n">
        <f aca="false">'Schedule Logic'!G37</f>
        <v>46371</v>
      </c>
      <c r="G40" s="89" t="n">
        <f aca="false">'Schedule Logic'!H37</f>
        <v>46372</v>
      </c>
      <c r="H40" s="90" t="n">
        <f aca="false">'Schedule Logic'!I37</f>
        <v>12</v>
      </c>
      <c r="I40" s="91" t="n">
        <v>0</v>
      </c>
      <c r="J40" s="63" t="s">
        <v>202</v>
      </c>
      <c r="K40" s="68" t="s">
        <v>184</v>
      </c>
      <c r="L40" s="69"/>
      <c r="M40" s="69"/>
      <c r="N40" s="61"/>
      <c r="O40" s="62" t="s">
        <v>203</v>
      </c>
    </row>
    <row r="41" customFormat="false" ht="39" hidden="false" customHeight="true" outlineLevel="0" collapsed="false">
      <c r="A41" s="80" t="s">
        <v>204</v>
      </c>
      <c r="B41" s="71" t="s">
        <v>19</v>
      </c>
      <c r="C41" s="71" t="s">
        <v>205</v>
      </c>
      <c r="D41" s="72" t="s">
        <v>206</v>
      </c>
      <c r="E41" s="77" t="s">
        <v>123</v>
      </c>
      <c r="F41" s="85" t="n">
        <f aca="false">'Schedule Logic'!G38</f>
        <v>46387</v>
      </c>
      <c r="G41" s="85" t="n">
        <f aca="false">'Schedule Logic'!H38</f>
        <v>46394</v>
      </c>
      <c r="H41" s="86" t="n">
        <f aca="false">'Schedule Logic'!I38</f>
        <v>8</v>
      </c>
      <c r="I41" s="87" t="n">
        <v>0</v>
      </c>
      <c r="J41" s="88" t="s">
        <v>124</v>
      </c>
      <c r="K41" s="74" t="s">
        <v>146</v>
      </c>
      <c r="L41" s="75"/>
      <c r="M41" s="75"/>
      <c r="N41" s="71"/>
      <c r="O41" s="72" t="s">
        <v>207</v>
      </c>
    </row>
    <row r="42" customFormat="false" ht="23.85" hidden="false" customHeight="false" outlineLevel="0" collapsed="false">
      <c r="A42" s="60"/>
      <c r="B42" s="61" t="s">
        <v>19</v>
      </c>
      <c r="C42" s="61" t="s">
        <v>121</v>
      </c>
      <c r="D42" s="62" t="s">
        <v>208</v>
      </c>
      <c r="E42" s="63" t="s">
        <v>123</v>
      </c>
      <c r="F42" s="89" t="n">
        <f aca="false">'Schedule Logic'!G39</f>
        <v>46395</v>
      </c>
      <c r="G42" s="89" t="n">
        <f aca="false">'Schedule Logic'!H39</f>
        <v>46401</v>
      </c>
      <c r="H42" s="90" t="n">
        <f aca="false">'Schedule Logic'!I39</f>
        <v>80</v>
      </c>
      <c r="I42" s="91" t="n">
        <v>0</v>
      </c>
      <c r="J42" s="83" t="s">
        <v>209</v>
      </c>
      <c r="K42" s="68" t="s">
        <v>184</v>
      </c>
      <c r="L42" s="69"/>
      <c r="M42" s="69"/>
      <c r="N42" s="61"/>
      <c r="O42" s="62" t="s">
        <v>210</v>
      </c>
    </row>
    <row r="43" customFormat="false" ht="14.25" hidden="false" customHeight="false" outlineLevel="0" collapsed="false">
      <c r="A43" s="80"/>
      <c r="B43" s="71" t="s">
        <v>19</v>
      </c>
      <c r="C43" s="71" t="s">
        <v>121</v>
      </c>
      <c r="D43" s="72" t="s">
        <v>211</v>
      </c>
      <c r="E43" s="77" t="s">
        <v>123</v>
      </c>
      <c r="F43" s="97" t="n">
        <f aca="false">'Schedule Logic'!G40</f>
        <v>46402</v>
      </c>
      <c r="G43" s="97" t="n">
        <f aca="false">'Schedule Logic'!H40</f>
        <v>46408</v>
      </c>
      <c r="H43" s="98" t="n">
        <f aca="false">'Schedule Logic'!I40</f>
        <v>60</v>
      </c>
      <c r="I43" s="99" t="n">
        <v>0</v>
      </c>
      <c r="J43" s="77" t="s">
        <v>183</v>
      </c>
      <c r="K43" s="74" t="s">
        <v>184</v>
      </c>
      <c r="L43" s="75"/>
      <c r="M43" s="75"/>
      <c r="N43" s="71"/>
      <c r="O43" s="72" t="s">
        <v>212</v>
      </c>
    </row>
    <row r="44" customFormat="false" ht="39" hidden="false" customHeight="true" outlineLevel="0" collapsed="false">
      <c r="A44" s="60" t="s">
        <v>213</v>
      </c>
      <c r="B44" s="61" t="s">
        <v>19</v>
      </c>
      <c r="C44" s="61" t="s">
        <v>121</v>
      </c>
      <c r="D44" s="62" t="s">
        <v>214</v>
      </c>
      <c r="E44" s="63" t="s">
        <v>123</v>
      </c>
      <c r="F44" s="89" t="n">
        <f aca="false">'Schedule Logic'!G41</f>
        <v>46409</v>
      </c>
      <c r="G44" s="89" t="n">
        <f aca="false">'Schedule Logic'!H41</f>
        <v>46413</v>
      </c>
      <c r="H44" s="90" t="n">
        <f aca="false">'Schedule Logic'!I41</f>
        <v>40</v>
      </c>
      <c r="I44" s="91" t="n">
        <v>0</v>
      </c>
      <c r="J44" s="83" t="s">
        <v>124</v>
      </c>
      <c r="K44" s="68" t="s">
        <v>215</v>
      </c>
      <c r="L44" s="69"/>
      <c r="M44" s="69"/>
      <c r="N44" s="61"/>
      <c r="O44" s="62" t="s">
        <v>216</v>
      </c>
    </row>
    <row r="45" customFormat="false" ht="14.25" hidden="false" customHeight="false" outlineLevel="0" collapsed="false">
      <c r="A45" s="80"/>
      <c r="B45" s="71" t="s">
        <v>19</v>
      </c>
      <c r="C45" s="71" t="s">
        <v>121</v>
      </c>
      <c r="D45" s="72" t="s">
        <v>217</v>
      </c>
      <c r="E45" s="100" t="s">
        <v>218</v>
      </c>
      <c r="F45" s="100"/>
      <c r="G45" s="100"/>
      <c r="H45" s="100"/>
      <c r="I45" s="101"/>
      <c r="J45" s="73" t="s">
        <v>124</v>
      </c>
      <c r="K45" s="74"/>
      <c r="L45" s="75"/>
      <c r="M45" s="75"/>
      <c r="N45" s="71"/>
      <c r="O45" s="72"/>
    </row>
    <row r="46" customFormat="false" ht="14.25" hidden="false" customHeight="false" outlineLevel="0" collapsed="false">
      <c r="A46" s="59" t="s">
        <v>219</v>
      </c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</row>
    <row r="47" customFormat="false" ht="52.5" hidden="false" customHeight="true" outlineLevel="0" collapsed="false">
      <c r="A47" s="80" t="n">
        <v>59</v>
      </c>
      <c r="B47" s="71" t="s">
        <v>20</v>
      </c>
      <c r="C47" s="71" t="s">
        <v>220</v>
      </c>
      <c r="D47" s="72" t="s">
        <v>221</v>
      </c>
      <c r="E47" s="88" t="s">
        <v>174</v>
      </c>
      <c r="F47" s="97" t="n">
        <f aca="false">'Schedule Logic'!G55</f>
        <v>46300</v>
      </c>
      <c r="G47" s="97" t="n">
        <f aca="false">'Schedule Logic'!H55</f>
        <v>46456</v>
      </c>
      <c r="H47" s="98" t="str">
        <f aca="false">'Schedule Logic'!I55</f>
        <v>-</v>
      </c>
      <c r="I47" s="99"/>
      <c r="J47" s="88" t="s">
        <v>222</v>
      </c>
      <c r="K47" s="74" t="s">
        <v>194</v>
      </c>
      <c r="L47" s="75" t="n">
        <v>14000</v>
      </c>
      <c r="M47" s="75" t="n">
        <v>7000</v>
      </c>
      <c r="N47" s="71"/>
      <c r="O47" s="72" t="s">
        <v>223</v>
      </c>
    </row>
    <row r="48" customFormat="false" ht="39" hidden="false" customHeight="true" outlineLevel="0" collapsed="false">
      <c r="A48" s="60" t="s">
        <v>224</v>
      </c>
      <c r="B48" s="61" t="s">
        <v>20</v>
      </c>
      <c r="C48" s="61" t="s">
        <v>225</v>
      </c>
      <c r="D48" s="62" t="s">
        <v>226</v>
      </c>
      <c r="E48" s="63" t="s">
        <v>123</v>
      </c>
      <c r="F48" s="89" t="n">
        <f aca="false">'Schedule Logic'!G45</f>
        <v>46300</v>
      </c>
      <c r="G48" s="89" t="n">
        <f aca="false">'Schedule Logic'!H45</f>
        <v>46300</v>
      </c>
      <c r="H48" s="90" t="n">
        <f aca="false">'Schedule Logic'!I45</f>
        <v>6</v>
      </c>
      <c r="I48" s="91" t="n">
        <v>0</v>
      </c>
      <c r="J48" s="83" t="s">
        <v>124</v>
      </c>
      <c r="K48" s="68" t="s">
        <v>194</v>
      </c>
      <c r="L48" s="69"/>
      <c r="M48" s="69"/>
      <c r="N48" s="61"/>
      <c r="O48" s="62" t="s">
        <v>227</v>
      </c>
    </row>
    <row r="49" customFormat="false" ht="26.25" hidden="false" customHeight="true" outlineLevel="0" collapsed="false">
      <c r="A49" s="80" t="n">
        <v>60</v>
      </c>
      <c r="B49" s="71" t="s">
        <v>20</v>
      </c>
      <c r="C49" s="71" t="s">
        <v>225</v>
      </c>
      <c r="D49" s="72" t="s">
        <v>228</v>
      </c>
      <c r="E49" s="88" t="s">
        <v>174</v>
      </c>
      <c r="F49" s="97" t="n">
        <f aca="false">'Schedule Logic'!G46</f>
        <v>46371</v>
      </c>
      <c r="G49" s="97" t="n">
        <f aca="false">'Schedule Logic'!H46</f>
        <v>46372</v>
      </c>
      <c r="H49" s="98" t="n">
        <f aca="false">'Schedule Logic'!I46</f>
        <v>12</v>
      </c>
      <c r="I49" s="99"/>
      <c r="J49" s="77" t="s">
        <v>229</v>
      </c>
      <c r="K49" s="74" t="s">
        <v>164</v>
      </c>
      <c r="L49" s="75"/>
      <c r="M49" s="75"/>
      <c r="N49" s="71"/>
      <c r="O49" s="72" t="s">
        <v>230</v>
      </c>
    </row>
    <row r="50" customFormat="false" ht="39" hidden="false" customHeight="true" outlineLevel="0" collapsed="false">
      <c r="A50" s="60" t="s">
        <v>231</v>
      </c>
      <c r="B50" s="61" t="s">
        <v>20</v>
      </c>
      <c r="C50" s="61" t="s">
        <v>225</v>
      </c>
      <c r="D50" s="62" t="s">
        <v>232</v>
      </c>
      <c r="E50" s="63" t="s">
        <v>123</v>
      </c>
      <c r="F50" s="89" t="n">
        <f aca="false">'Schedule Logic'!G47</f>
        <v>46378</v>
      </c>
      <c r="G50" s="89" t="n">
        <f aca="false">'Schedule Logic'!H47</f>
        <v>46386</v>
      </c>
      <c r="H50" s="90" t="n">
        <f aca="false">'Schedule Logic'!I47</f>
        <v>60</v>
      </c>
      <c r="I50" s="91" t="n">
        <v>0</v>
      </c>
      <c r="J50" s="83" t="s">
        <v>124</v>
      </c>
      <c r="K50" s="68" t="s">
        <v>194</v>
      </c>
      <c r="L50" s="69"/>
      <c r="M50" s="69"/>
      <c r="N50" s="61"/>
      <c r="O50" s="62" t="s">
        <v>233</v>
      </c>
    </row>
    <row r="51" customFormat="false" ht="39" hidden="false" customHeight="true" outlineLevel="0" collapsed="false">
      <c r="A51" s="80" t="n">
        <v>61</v>
      </c>
      <c r="B51" s="71" t="s">
        <v>20</v>
      </c>
      <c r="C51" s="71" t="s">
        <v>225</v>
      </c>
      <c r="D51" s="72" t="s">
        <v>234</v>
      </c>
      <c r="E51" s="77" t="s">
        <v>123</v>
      </c>
      <c r="F51" s="85" t="n">
        <f aca="false">'Schedule Logic'!G48</f>
        <v>46451</v>
      </c>
      <c r="G51" s="85" t="n">
        <f aca="false">'Schedule Logic'!H48</f>
        <v>46455</v>
      </c>
      <c r="H51" s="86" t="n">
        <f aca="false">'Schedule Logic'!I48</f>
        <v>24</v>
      </c>
      <c r="I51" s="87" t="n">
        <v>0</v>
      </c>
      <c r="J51" s="88" t="s">
        <v>222</v>
      </c>
      <c r="K51" s="74" t="s">
        <v>194</v>
      </c>
      <c r="L51" s="75"/>
      <c r="M51" s="75"/>
      <c r="N51" s="71"/>
      <c r="O51" s="72" t="s">
        <v>235</v>
      </c>
    </row>
    <row r="52" customFormat="false" ht="14.25" hidden="false" customHeight="false" outlineLevel="0" collapsed="false">
      <c r="A52" s="60" t="n">
        <v>62</v>
      </c>
      <c r="B52" s="61" t="s">
        <v>20</v>
      </c>
      <c r="C52" s="61" t="s">
        <v>225</v>
      </c>
      <c r="D52" s="62" t="s">
        <v>236</v>
      </c>
      <c r="E52" s="83" t="s">
        <v>174</v>
      </c>
      <c r="F52" s="102" t="n">
        <f aca="false">'Schedule Logic'!G49</f>
        <v>46451</v>
      </c>
      <c r="G52" s="102" t="n">
        <f aca="false">'Schedule Logic'!H49</f>
        <v>46454</v>
      </c>
      <c r="H52" s="103" t="n">
        <f aca="false">'Schedule Logic'!I49</f>
        <v>12</v>
      </c>
      <c r="I52" s="84"/>
      <c r="J52" s="83" t="s">
        <v>222</v>
      </c>
      <c r="K52" s="68" t="s">
        <v>194</v>
      </c>
      <c r="L52" s="69"/>
      <c r="M52" s="69"/>
      <c r="N52" s="61"/>
      <c r="O52" s="62" t="s">
        <v>237</v>
      </c>
    </row>
    <row r="53" customFormat="false" ht="26.25" hidden="false" customHeight="true" outlineLevel="0" collapsed="false">
      <c r="A53" s="80" t="n">
        <v>63</v>
      </c>
      <c r="B53" s="71" t="s">
        <v>20</v>
      </c>
      <c r="C53" s="71" t="s">
        <v>225</v>
      </c>
      <c r="D53" s="72" t="s">
        <v>238</v>
      </c>
      <c r="E53" s="77" t="s">
        <v>123</v>
      </c>
      <c r="F53" s="85" t="n">
        <f aca="false">'Schedule Logic'!G50</f>
        <v>46454</v>
      </c>
      <c r="G53" s="85" t="n">
        <f aca="false">'Schedule Logic'!H50</f>
        <v>46455</v>
      </c>
      <c r="H53" s="86" t="n">
        <f aca="false">'Schedule Logic'!I50</f>
        <v>12</v>
      </c>
      <c r="I53" s="87" t="n">
        <v>0</v>
      </c>
      <c r="J53" s="88" t="s">
        <v>222</v>
      </c>
      <c r="K53" s="74" t="s">
        <v>194</v>
      </c>
      <c r="L53" s="75"/>
      <c r="M53" s="75"/>
      <c r="N53" s="71"/>
      <c r="O53" s="72" t="s">
        <v>239</v>
      </c>
    </row>
    <row r="54" customFormat="false" ht="26.25" hidden="false" customHeight="true" outlineLevel="0" collapsed="false">
      <c r="A54" s="60" t="n">
        <v>64</v>
      </c>
      <c r="B54" s="61" t="s">
        <v>20</v>
      </c>
      <c r="C54" s="61" t="s">
        <v>240</v>
      </c>
      <c r="D54" s="62" t="s">
        <v>241</v>
      </c>
      <c r="E54" s="63" t="s">
        <v>123</v>
      </c>
      <c r="F54" s="89" t="n">
        <f aca="false">'Schedule Logic'!G51</f>
        <v>46455</v>
      </c>
      <c r="G54" s="89" t="n">
        <f aca="false">'Schedule Logic'!H51</f>
        <v>46455</v>
      </c>
      <c r="H54" s="90" t="n">
        <f aca="false">'Schedule Logic'!I51</f>
        <v>3</v>
      </c>
      <c r="I54" s="91" t="n">
        <v>0</v>
      </c>
      <c r="J54" s="83" t="s">
        <v>222</v>
      </c>
      <c r="K54" s="68" t="s">
        <v>194</v>
      </c>
      <c r="L54" s="69"/>
      <c r="M54" s="69"/>
      <c r="N54" s="61"/>
      <c r="O54" s="62" t="s">
        <v>242</v>
      </c>
    </row>
    <row r="55" customFormat="false" ht="14.25" hidden="false" customHeight="false" outlineLevel="0" collapsed="false">
      <c r="A55" s="80" t="n">
        <v>65</v>
      </c>
      <c r="B55" s="71" t="s">
        <v>20</v>
      </c>
      <c r="C55" s="71" t="s">
        <v>243</v>
      </c>
      <c r="D55" s="72" t="s">
        <v>244</v>
      </c>
      <c r="E55" s="77" t="s">
        <v>123</v>
      </c>
      <c r="F55" s="85" t="n">
        <f aca="false">'Schedule Logic'!G52</f>
        <v>46456</v>
      </c>
      <c r="G55" s="85" t="n">
        <f aca="false">'Schedule Logic'!H52</f>
        <v>46456</v>
      </c>
      <c r="H55" s="86" t="n">
        <f aca="false">'Schedule Logic'!I52</f>
        <v>4</v>
      </c>
      <c r="I55" s="87" t="n">
        <v>0</v>
      </c>
      <c r="J55" s="104" t="s">
        <v>245</v>
      </c>
      <c r="K55" s="74" t="s">
        <v>184</v>
      </c>
      <c r="L55" s="75"/>
      <c r="M55" s="75"/>
      <c r="N55" s="71"/>
      <c r="O55" s="72" t="s">
        <v>246</v>
      </c>
    </row>
    <row r="56" customFormat="false" ht="26.25" hidden="false" customHeight="true" outlineLevel="0" collapsed="false">
      <c r="A56" s="60" t="n">
        <v>66</v>
      </c>
      <c r="B56" s="61" t="s">
        <v>20</v>
      </c>
      <c r="C56" s="61" t="s">
        <v>225</v>
      </c>
      <c r="D56" s="62" t="s">
        <v>247</v>
      </c>
      <c r="E56" s="63" t="s">
        <v>123</v>
      </c>
      <c r="F56" s="89" t="n">
        <f aca="false">'Schedule Logic'!G53</f>
        <v>46456</v>
      </c>
      <c r="G56" s="89" t="n">
        <f aca="false">'Schedule Logic'!H53</f>
        <v>46456</v>
      </c>
      <c r="H56" s="90" t="n">
        <f aca="false">'Schedule Logic'!I53</f>
        <v>4</v>
      </c>
      <c r="I56" s="91" t="n">
        <v>0</v>
      </c>
      <c r="J56" s="63" t="s">
        <v>248</v>
      </c>
      <c r="K56" s="68" t="s">
        <v>249</v>
      </c>
      <c r="L56" s="69"/>
      <c r="M56" s="69"/>
      <c r="N56" s="61"/>
      <c r="O56" s="62" t="s">
        <v>250</v>
      </c>
    </row>
    <row r="57" customFormat="false" ht="14.25" hidden="false" customHeight="false" outlineLevel="0" collapsed="false">
      <c r="A57" s="80" t="n">
        <v>67</v>
      </c>
      <c r="B57" s="71" t="s">
        <v>20</v>
      </c>
      <c r="C57" s="71" t="s">
        <v>225</v>
      </c>
      <c r="D57" s="72" t="s">
        <v>251</v>
      </c>
      <c r="E57" s="77" t="s">
        <v>123</v>
      </c>
      <c r="F57" s="85" t="n">
        <f aca="false">'Schedule Logic'!G54</f>
        <v>46456</v>
      </c>
      <c r="G57" s="85" t="n">
        <f aca="false">'Schedule Logic'!H54</f>
        <v>46456</v>
      </c>
      <c r="H57" s="86" t="n">
        <f aca="false">'Schedule Logic'!I54</f>
        <v>2</v>
      </c>
      <c r="I57" s="87" t="n">
        <v>0</v>
      </c>
      <c r="J57" s="88" t="s">
        <v>222</v>
      </c>
      <c r="K57" s="74" t="s">
        <v>194</v>
      </c>
      <c r="L57" s="75"/>
      <c r="M57" s="75"/>
      <c r="N57" s="71"/>
      <c r="O57" s="72"/>
    </row>
    <row r="58" customFormat="false" ht="14.25" hidden="false" customHeight="false" outlineLevel="0" collapsed="false">
      <c r="A58" s="59" t="s">
        <v>252</v>
      </c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</row>
    <row r="59" customFormat="false" ht="39" hidden="false" customHeight="true" outlineLevel="0" collapsed="false">
      <c r="A59" s="80" t="n">
        <v>68</v>
      </c>
      <c r="B59" s="71" t="s">
        <v>21</v>
      </c>
      <c r="C59" s="71" t="s">
        <v>225</v>
      </c>
      <c r="D59" s="72" t="s">
        <v>253</v>
      </c>
      <c r="E59" s="81" t="s">
        <v>132</v>
      </c>
      <c r="F59" s="81"/>
      <c r="G59" s="81"/>
      <c r="H59" s="81"/>
      <c r="I59" s="82" t="n">
        <v>1</v>
      </c>
      <c r="J59" s="73" t="s">
        <v>124</v>
      </c>
      <c r="K59" s="74"/>
      <c r="L59" s="75"/>
      <c r="M59" s="75"/>
      <c r="N59" s="71"/>
      <c r="O59" s="72" t="s">
        <v>254</v>
      </c>
    </row>
    <row r="60" customFormat="false" ht="39" hidden="false" customHeight="true" outlineLevel="0" collapsed="false">
      <c r="A60" s="60" t="s">
        <v>255</v>
      </c>
      <c r="B60" s="61" t="s">
        <v>21</v>
      </c>
      <c r="C60" s="61" t="s">
        <v>225</v>
      </c>
      <c r="D60" s="62" t="s">
        <v>256</v>
      </c>
      <c r="E60" s="63" t="s">
        <v>123</v>
      </c>
      <c r="F60" s="89" t="n">
        <f aca="false">'Schedule Logic'!G57</f>
        <v>46371</v>
      </c>
      <c r="G60" s="89" t="n">
        <f aca="false">'Schedule Logic'!H57</f>
        <v>46374</v>
      </c>
      <c r="H60" s="90" t="n">
        <f aca="false">'Schedule Logic'!I57</f>
        <v>32</v>
      </c>
      <c r="I60" s="91" t="n">
        <v>0</v>
      </c>
      <c r="J60" s="83" t="s">
        <v>124</v>
      </c>
      <c r="K60" s="68" t="s">
        <v>184</v>
      </c>
      <c r="L60" s="69"/>
      <c r="M60" s="69"/>
      <c r="N60" s="61"/>
      <c r="O60" s="62" t="s">
        <v>257</v>
      </c>
    </row>
    <row r="61" customFormat="false" ht="39" hidden="false" customHeight="true" outlineLevel="0" collapsed="false">
      <c r="A61" s="80" t="s">
        <v>258</v>
      </c>
      <c r="B61" s="71" t="s">
        <v>21</v>
      </c>
      <c r="C61" s="71" t="s">
        <v>225</v>
      </c>
      <c r="D61" s="72" t="s">
        <v>259</v>
      </c>
      <c r="E61" s="77" t="s">
        <v>123</v>
      </c>
      <c r="F61" s="85" t="n">
        <f aca="false">'Schedule Logic'!G58</f>
        <v>46384</v>
      </c>
      <c r="G61" s="85" t="n">
        <f aca="false">'Schedule Logic'!H58</f>
        <v>46386</v>
      </c>
      <c r="H61" s="86" t="n">
        <f aca="false">'Schedule Logic'!I58</f>
        <v>24</v>
      </c>
      <c r="I61" s="87" t="n">
        <v>0</v>
      </c>
      <c r="J61" s="88" t="s">
        <v>124</v>
      </c>
      <c r="K61" s="74" t="s">
        <v>184</v>
      </c>
      <c r="L61" s="75"/>
      <c r="M61" s="75"/>
      <c r="N61" s="71"/>
      <c r="O61" s="72" t="s">
        <v>260</v>
      </c>
    </row>
    <row r="62" customFormat="false" ht="26.25" hidden="false" customHeight="true" outlineLevel="0" collapsed="false">
      <c r="A62" s="60" t="n">
        <v>71</v>
      </c>
      <c r="B62" s="61" t="s">
        <v>21</v>
      </c>
      <c r="C62" s="61" t="s">
        <v>225</v>
      </c>
      <c r="D62" s="62" t="s">
        <v>261</v>
      </c>
      <c r="E62" s="63" t="s">
        <v>123</v>
      </c>
      <c r="F62" s="89" t="n">
        <f aca="false">'Schedule Logic'!G59</f>
        <v>46387</v>
      </c>
      <c r="G62" s="89" t="n">
        <f aca="false">'Schedule Logic'!H59</f>
        <v>46391</v>
      </c>
      <c r="H62" s="90" t="n">
        <f aca="false">'Schedule Logic'!I59</f>
        <v>6</v>
      </c>
      <c r="I62" s="91" t="n">
        <v>0</v>
      </c>
      <c r="J62" s="83" t="s">
        <v>262</v>
      </c>
      <c r="K62" s="68" t="s">
        <v>184</v>
      </c>
      <c r="L62" s="69"/>
      <c r="M62" s="69"/>
      <c r="N62" s="61"/>
      <c r="O62" s="62" t="s">
        <v>263</v>
      </c>
    </row>
    <row r="63" customFormat="false" ht="23.85" hidden="false" customHeight="false" outlineLevel="0" collapsed="false">
      <c r="A63" s="80" t="n">
        <v>69</v>
      </c>
      <c r="B63" s="71" t="s">
        <v>21</v>
      </c>
      <c r="C63" s="71" t="s">
        <v>220</v>
      </c>
      <c r="D63" s="72" t="s">
        <v>264</v>
      </c>
      <c r="E63" s="77" t="s">
        <v>123</v>
      </c>
      <c r="F63" s="85" t="n">
        <f aca="false">'Schedule Logic'!G60</f>
        <v>46451</v>
      </c>
      <c r="G63" s="85" t="n">
        <f aca="false">'Schedule Logic'!H60</f>
        <v>46455</v>
      </c>
      <c r="H63" s="86" t="n">
        <f aca="false">'Schedule Logic'!I60</f>
        <v>24</v>
      </c>
      <c r="I63" s="87" t="n">
        <v>0</v>
      </c>
      <c r="J63" s="88" t="s">
        <v>262</v>
      </c>
      <c r="K63" s="74" t="s">
        <v>184</v>
      </c>
      <c r="L63" s="75"/>
      <c r="M63" s="75" t="n">
        <v>1500</v>
      </c>
      <c r="N63" s="71" t="s">
        <v>265</v>
      </c>
      <c r="O63" s="72" t="s">
        <v>266</v>
      </c>
    </row>
    <row r="64" customFormat="false" ht="14.25" hidden="false" customHeight="false" outlineLevel="0" collapsed="false">
      <c r="A64" s="60" t="n">
        <v>72</v>
      </c>
      <c r="B64" s="61" t="s">
        <v>21</v>
      </c>
      <c r="C64" s="61" t="s">
        <v>225</v>
      </c>
      <c r="D64" s="62" t="s">
        <v>267</v>
      </c>
      <c r="E64" s="63" t="s">
        <v>123</v>
      </c>
      <c r="F64" s="89" t="n">
        <f aca="false">'Schedule Logic'!G61</f>
        <v>46451</v>
      </c>
      <c r="G64" s="89" t="n">
        <f aca="false">'Schedule Logic'!H61</f>
        <v>46454</v>
      </c>
      <c r="H64" s="90" t="n">
        <f aca="false">'Schedule Logic'!I61</f>
        <v>8</v>
      </c>
      <c r="I64" s="91" t="n">
        <v>0</v>
      </c>
      <c r="J64" s="83" t="s">
        <v>262</v>
      </c>
      <c r="K64" s="68" t="s">
        <v>184</v>
      </c>
      <c r="L64" s="69"/>
      <c r="M64" s="69"/>
      <c r="N64" s="61"/>
      <c r="O64" s="62"/>
    </row>
    <row r="65" customFormat="false" ht="14.25" hidden="false" customHeight="false" outlineLevel="0" collapsed="false">
      <c r="A65" s="80" t="n">
        <v>70</v>
      </c>
      <c r="B65" s="71" t="s">
        <v>21</v>
      </c>
      <c r="C65" s="71" t="s">
        <v>225</v>
      </c>
      <c r="D65" s="72" t="s">
        <v>268</v>
      </c>
      <c r="E65" s="100" t="s">
        <v>218</v>
      </c>
      <c r="F65" s="100"/>
      <c r="G65" s="100"/>
      <c r="H65" s="100"/>
      <c r="I65" s="101"/>
      <c r="J65" s="73" t="s">
        <v>124</v>
      </c>
      <c r="K65" s="74"/>
      <c r="L65" s="75"/>
      <c r="M65" s="75"/>
      <c r="N65" s="71"/>
      <c r="O65" s="72" t="s">
        <v>269</v>
      </c>
    </row>
    <row r="66" customFormat="false" ht="14.25" hidden="false" customHeight="false" outlineLevel="0" collapsed="false">
      <c r="A66" s="59" t="s">
        <v>270</v>
      </c>
      <c r="B66" s="105"/>
      <c r="C66" s="105"/>
      <c r="D66" s="105"/>
      <c r="E66" s="105"/>
      <c r="F66" s="105"/>
      <c r="G66" s="105"/>
      <c r="H66" s="105"/>
      <c r="I66" s="105"/>
      <c r="J66" s="105"/>
      <c r="K66" s="105"/>
      <c r="L66" s="105"/>
      <c r="M66" s="105"/>
      <c r="N66" s="105"/>
      <c r="O66" s="106"/>
    </row>
    <row r="67" customFormat="false" ht="14.25" hidden="false" customHeight="false" outlineLevel="0" collapsed="false">
      <c r="A67" s="80" t="n">
        <v>73</v>
      </c>
      <c r="B67" s="71" t="s">
        <v>22</v>
      </c>
      <c r="C67" s="71" t="s">
        <v>225</v>
      </c>
      <c r="D67" s="72" t="s">
        <v>271</v>
      </c>
      <c r="E67" s="100" t="s">
        <v>218</v>
      </c>
      <c r="F67" s="100"/>
      <c r="G67" s="100"/>
      <c r="H67" s="100"/>
      <c r="I67" s="101"/>
      <c r="J67" s="73" t="s">
        <v>124</v>
      </c>
      <c r="K67" s="74"/>
      <c r="L67" s="75"/>
      <c r="M67" s="75"/>
      <c r="N67" s="71"/>
      <c r="O67" s="72" t="s">
        <v>272</v>
      </c>
    </row>
    <row r="68" customFormat="false" ht="39" hidden="false" customHeight="true" outlineLevel="0" collapsed="false">
      <c r="A68" s="60" t="n">
        <v>74</v>
      </c>
      <c r="B68" s="61" t="s">
        <v>22</v>
      </c>
      <c r="C68" s="61" t="s">
        <v>220</v>
      </c>
      <c r="D68" s="62" t="s">
        <v>273</v>
      </c>
      <c r="E68" s="63" t="s">
        <v>123</v>
      </c>
      <c r="F68" s="89" t="n">
        <f aca="false">'Schedule Logic'!G69</f>
        <v>46371</v>
      </c>
      <c r="G68" s="89" t="n">
        <f aca="false">'Schedule Logic'!H69</f>
        <v>46415</v>
      </c>
      <c r="H68" s="90" t="str">
        <f aca="false">'Schedule Logic'!I69</f>
        <v>-</v>
      </c>
      <c r="I68" s="91" t="n">
        <v>0</v>
      </c>
      <c r="J68" s="63" t="s">
        <v>202</v>
      </c>
      <c r="K68" s="68" t="s">
        <v>191</v>
      </c>
      <c r="L68" s="69" t="n">
        <v>2100</v>
      </c>
      <c r="M68" s="69" t="n">
        <v>2000</v>
      </c>
      <c r="N68" s="61"/>
      <c r="O68" s="62" t="s">
        <v>274</v>
      </c>
    </row>
    <row r="69" customFormat="false" ht="39" hidden="false" customHeight="true" outlineLevel="0" collapsed="false">
      <c r="A69" s="80" t="s">
        <v>275</v>
      </c>
      <c r="B69" s="71" t="s">
        <v>22</v>
      </c>
      <c r="C69" s="71" t="s">
        <v>225</v>
      </c>
      <c r="D69" s="72" t="s">
        <v>276</v>
      </c>
      <c r="E69" s="77" t="s">
        <v>123</v>
      </c>
      <c r="F69" s="85" t="n">
        <f aca="false">'Schedule Logic'!G63</f>
        <v>46378</v>
      </c>
      <c r="G69" s="85" t="n">
        <f aca="false">'Schedule Logic'!H63</f>
        <v>46384</v>
      </c>
      <c r="H69" s="86" t="n">
        <f aca="false">'Schedule Logic'!I63</f>
        <v>24</v>
      </c>
      <c r="I69" s="87" t="n">
        <v>0</v>
      </c>
      <c r="J69" s="88" t="s">
        <v>124</v>
      </c>
      <c r="K69" s="74" t="s">
        <v>194</v>
      </c>
      <c r="L69" s="75"/>
      <c r="M69" s="75"/>
      <c r="N69" s="71"/>
      <c r="O69" s="72" t="s">
        <v>277</v>
      </c>
    </row>
    <row r="70" customFormat="false" ht="23.85" hidden="false" customHeight="false" outlineLevel="0" collapsed="false">
      <c r="A70" s="60" t="n">
        <v>77</v>
      </c>
      <c r="B70" s="61" t="s">
        <v>22</v>
      </c>
      <c r="C70" s="61" t="s">
        <v>225</v>
      </c>
      <c r="D70" s="62" t="s">
        <v>278</v>
      </c>
      <c r="E70" s="63" t="s">
        <v>123</v>
      </c>
      <c r="F70" s="89" t="n">
        <f aca="false">'Schedule Logic'!G64</f>
        <v>46414</v>
      </c>
      <c r="G70" s="89" t="n">
        <f aca="false">'Schedule Logic'!H64</f>
        <v>46415</v>
      </c>
      <c r="H70" s="90" t="n">
        <f aca="false">'Schedule Logic'!I64</f>
        <v>16</v>
      </c>
      <c r="I70" s="91" t="n">
        <v>0</v>
      </c>
      <c r="J70" s="63" t="s">
        <v>202</v>
      </c>
      <c r="K70" s="68" t="s">
        <v>194</v>
      </c>
      <c r="L70" s="69"/>
      <c r="M70" s="69"/>
      <c r="N70" s="61"/>
      <c r="O70" s="62" t="s">
        <v>279</v>
      </c>
    </row>
    <row r="71" customFormat="false" ht="14.25" hidden="false" customHeight="false" outlineLevel="0" collapsed="false">
      <c r="A71" s="80" t="n">
        <v>75</v>
      </c>
      <c r="B71" s="71" t="s">
        <v>22</v>
      </c>
      <c r="C71" s="71" t="s">
        <v>225</v>
      </c>
      <c r="D71" s="72" t="s">
        <v>280</v>
      </c>
      <c r="E71" s="77" t="s">
        <v>123</v>
      </c>
      <c r="F71" s="85" t="n">
        <f aca="false">'Schedule Logic'!G65</f>
        <v>46414</v>
      </c>
      <c r="G71" s="85" t="n">
        <f aca="false">'Schedule Logic'!H65</f>
        <v>46414</v>
      </c>
      <c r="H71" s="86" t="n">
        <f aca="false">'Schedule Logic'!I65</f>
        <v>4</v>
      </c>
      <c r="I71" s="87" t="n">
        <v>0</v>
      </c>
      <c r="J71" s="77" t="s">
        <v>202</v>
      </c>
      <c r="K71" s="74" t="s">
        <v>194</v>
      </c>
      <c r="L71" s="75"/>
      <c r="M71" s="75"/>
      <c r="N71" s="71"/>
      <c r="O71" s="72" t="s">
        <v>281</v>
      </c>
    </row>
    <row r="72" customFormat="false" ht="14.25" hidden="false" customHeight="false" outlineLevel="0" collapsed="false">
      <c r="A72" s="60" t="n">
        <v>76</v>
      </c>
      <c r="B72" s="61" t="s">
        <v>22</v>
      </c>
      <c r="C72" s="61" t="s">
        <v>225</v>
      </c>
      <c r="D72" s="62" t="s">
        <v>282</v>
      </c>
      <c r="E72" s="63" t="s">
        <v>123</v>
      </c>
      <c r="F72" s="89" t="n">
        <f aca="false">'Schedule Logic'!G66</f>
        <v>46414</v>
      </c>
      <c r="G72" s="89" t="n">
        <f aca="false">'Schedule Logic'!H66</f>
        <v>46414</v>
      </c>
      <c r="H72" s="90" t="n">
        <f aca="false">'Schedule Logic'!I66</f>
        <v>3</v>
      </c>
      <c r="I72" s="91" t="n">
        <v>0</v>
      </c>
      <c r="J72" s="63" t="s">
        <v>202</v>
      </c>
      <c r="K72" s="68" t="s">
        <v>194</v>
      </c>
      <c r="L72" s="69"/>
      <c r="M72" s="69"/>
      <c r="N72" s="61"/>
      <c r="O72" s="62" t="s">
        <v>281</v>
      </c>
    </row>
    <row r="73" customFormat="false" ht="14.25" hidden="false" customHeight="false" outlineLevel="0" collapsed="false">
      <c r="A73" s="80" t="n">
        <v>78</v>
      </c>
      <c r="B73" s="71" t="s">
        <v>22</v>
      </c>
      <c r="C73" s="71" t="s">
        <v>225</v>
      </c>
      <c r="D73" s="72" t="s">
        <v>283</v>
      </c>
      <c r="E73" s="77" t="s">
        <v>123</v>
      </c>
      <c r="F73" s="85" t="n">
        <f aca="false">'Schedule Logic'!G67</f>
        <v>46451</v>
      </c>
      <c r="G73" s="85" t="n">
        <f aca="false">'Schedule Logic'!H67</f>
        <v>46451</v>
      </c>
      <c r="H73" s="86" t="n">
        <f aca="false">'Schedule Logic'!I67</f>
        <v>4</v>
      </c>
      <c r="I73" s="87" t="n">
        <v>0</v>
      </c>
      <c r="J73" s="77" t="s">
        <v>248</v>
      </c>
      <c r="K73" s="74" t="s">
        <v>146</v>
      </c>
      <c r="L73" s="75"/>
      <c r="M73" s="75"/>
      <c r="N73" s="71"/>
      <c r="O73" s="72" t="s">
        <v>284</v>
      </c>
    </row>
    <row r="74" customFormat="false" ht="26.25" hidden="false" customHeight="true" outlineLevel="0" collapsed="false">
      <c r="A74" s="60" t="n">
        <v>79</v>
      </c>
      <c r="B74" s="61" t="s">
        <v>22</v>
      </c>
      <c r="C74" s="61" t="s">
        <v>225</v>
      </c>
      <c r="D74" s="62" t="s">
        <v>285</v>
      </c>
      <c r="E74" s="63" t="s">
        <v>123</v>
      </c>
      <c r="F74" s="89" t="n">
        <f aca="false">'Schedule Logic'!G68</f>
        <v>46451</v>
      </c>
      <c r="G74" s="89" t="n">
        <f aca="false">'Schedule Logic'!H68</f>
        <v>46451</v>
      </c>
      <c r="H74" s="90" t="n">
        <f aca="false">'Schedule Logic'!I68</f>
        <v>2</v>
      </c>
      <c r="I74" s="91" t="n">
        <v>0</v>
      </c>
      <c r="J74" s="63" t="s">
        <v>248</v>
      </c>
      <c r="K74" s="68" t="s">
        <v>184</v>
      </c>
      <c r="L74" s="69"/>
      <c r="M74" s="69"/>
      <c r="N74" s="61"/>
      <c r="O74" s="62" t="s">
        <v>286</v>
      </c>
    </row>
    <row r="75" customFormat="false" ht="14.25" hidden="false" customHeight="false" outlineLevel="0" collapsed="false">
      <c r="A75" s="59" t="s">
        <v>287</v>
      </c>
      <c r="B75" s="105"/>
      <c r="C75" s="105"/>
      <c r="D75" s="105"/>
      <c r="E75" s="105"/>
      <c r="F75" s="105"/>
      <c r="G75" s="105"/>
      <c r="H75" s="105"/>
      <c r="I75" s="105"/>
      <c r="J75" s="105"/>
      <c r="K75" s="105"/>
      <c r="L75" s="105"/>
      <c r="M75" s="105"/>
      <c r="N75" s="105"/>
      <c r="O75" s="106"/>
    </row>
    <row r="76" customFormat="false" ht="39" hidden="false" customHeight="true" outlineLevel="0" collapsed="false">
      <c r="A76" s="80" t="s">
        <v>288</v>
      </c>
      <c r="B76" s="71" t="s">
        <v>23</v>
      </c>
      <c r="C76" s="71" t="s">
        <v>289</v>
      </c>
      <c r="D76" s="72" t="s">
        <v>290</v>
      </c>
      <c r="E76" s="77" t="s">
        <v>123</v>
      </c>
      <c r="F76" s="85" t="n">
        <f aca="false">'Schedule Logic'!G71</f>
        <v>46378</v>
      </c>
      <c r="G76" s="85" t="n">
        <f aca="false">'Schedule Logic'!H71</f>
        <v>46408</v>
      </c>
      <c r="H76" s="86" t="n">
        <f aca="false">'Schedule Logic'!I71</f>
        <v>6</v>
      </c>
      <c r="I76" s="87" t="n">
        <v>0</v>
      </c>
      <c r="J76" s="88" t="s">
        <v>124</v>
      </c>
      <c r="K76" s="74" t="s">
        <v>146</v>
      </c>
      <c r="L76" s="75"/>
      <c r="M76" s="75"/>
      <c r="N76" s="71"/>
      <c r="O76" s="72" t="s">
        <v>291</v>
      </c>
    </row>
    <row r="77" customFormat="false" ht="39" hidden="false" customHeight="true" outlineLevel="0" collapsed="false">
      <c r="A77" s="60" t="n">
        <v>80</v>
      </c>
      <c r="B77" s="61" t="s">
        <v>23</v>
      </c>
      <c r="C77" s="61" t="s">
        <v>289</v>
      </c>
      <c r="D77" s="62" t="s">
        <v>292</v>
      </c>
      <c r="E77" s="83" t="s">
        <v>174</v>
      </c>
      <c r="F77" s="102" t="n">
        <f aca="false">'Schedule Logic'!G72</f>
        <v>46426</v>
      </c>
      <c r="G77" s="102" t="n">
        <f aca="false">'Schedule Logic'!H72</f>
        <v>46427</v>
      </c>
      <c r="H77" s="103" t="n">
        <f aca="false">'Schedule Logic'!I72</f>
        <v>16</v>
      </c>
      <c r="I77" s="84"/>
      <c r="J77" s="63" t="s">
        <v>293</v>
      </c>
      <c r="K77" s="68" t="s">
        <v>164</v>
      </c>
      <c r="L77" s="69" t="n">
        <v>21750</v>
      </c>
      <c r="M77" s="69" t="n">
        <v>4875</v>
      </c>
      <c r="N77" s="61" t="s">
        <v>294</v>
      </c>
      <c r="O77" s="62" t="s">
        <v>295</v>
      </c>
    </row>
    <row r="78" customFormat="false" ht="118.5" hidden="false" customHeight="true" outlineLevel="0" collapsed="false">
      <c r="A78" s="80" t="n">
        <v>81</v>
      </c>
      <c r="B78" s="71" t="s">
        <v>23</v>
      </c>
      <c r="C78" s="71" t="s">
        <v>296</v>
      </c>
      <c r="D78" s="72" t="s">
        <v>297</v>
      </c>
      <c r="E78" s="77" t="s">
        <v>123</v>
      </c>
      <c r="F78" s="85" t="n">
        <f aca="false">'Schedule Logic'!G73</f>
        <v>46428</v>
      </c>
      <c r="G78" s="85" t="n">
        <f aca="false">'Schedule Logic'!H73</f>
        <v>46437</v>
      </c>
      <c r="H78" s="86" t="n">
        <f aca="false">'Schedule Logic'!I73</f>
        <v>12</v>
      </c>
      <c r="I78" s="87" t="n">
        <v>0</v>
      </c>
      <c r="J78" s="77" t="s">
        <v>298</v>
      </c>
      <c r="K78" s="74" t="s">
        <v>299</v>
      </c>
      <c r="L78" s="75" t="n">
        <v>5925</v>
      </c>
      <c r="M78" s="75" t="n">
        <v>4500</v>
      </c>
      <c r="N78" s="71" t="s">
        <v>300</v>
      </c>
      <c r="O78" s="72" t="s">
        <v>301</v>
      </c>
    </row>
    <row r="79" customFormat="false" ht="14.25" hidden="false" customHeight="false" outlineLevel="0" collapsed="false">
      <c r="A79" s="60" t="n">
        <v>82</v>
      </c>
      <c r="B79" s="61" t="s">
        <v>23</v>
      </c>
      <c r="C79" s="61" t="s">
        <v>23</v>
      </c>
      <c r="D79" s="62" t="s">
        <v>302</v>
      </c>
      <c r="E79" s="63" t="s">
        <v>123</v>
      </c>
      <c r="F79" s="89" t="n">
        <f aca="false">'Schedule Logic'!G74</f>
        <v>46387</v>
      </c>
      <c r="G79" s="89" t="n">
        <f aca="false">'Schedule Logic'!H74</f>
        <v>46394</v>
      </c>
      <c r="H79" s="90" t="n">
        <f aca="false">'Schedule Logic'!I74</f>
        <v>3</v>
      </c>
      <c r="I79" s="91" t="n">
        <v>0</v>
      </c>
      <c r="J79" s="63" t="s">
        <v>303</v>
      </c>
      <c r="K79" s="68" t="s">
        <v>146</v>
      </c>
      <c r="L79" s="69"/>
      <c r="M79" s="69"/>
      <c r="N79" s="61"/>
      <c r="O79" s="62"/>
    </row>
    <row r="80" customFormat="false" ht="26.25" hidden="false" customHeight="true" outlineLevel="0" collapsed="false">
      <c r="A80" s="80" t="n">
        <v>83</v>
      </c>
      <c r="B80" s="71" t="s">
        <v>23</v>
      </c>
      <c r="C80" s="71" t="s">
        <v>23</v>
      </c>
      <c r="D80" s="72" t="s">
        <v>304</v>
      </c>
      <c r="E80" s="77" t="s">
        <v>123</v>
      </c>
      <c r="F80" s="85" t="n">
        <f aca="false">'Schedule Logic'!G75</f>
        <v>46387</v>
      </c>
      <c r="G80" s="85" t="n">
        <f aca="false">'Schedule Logic'!H75</f>
        <v>46394</v>
      </c>
      <c r="H80" s="86" t="n">
        <f aca="false">'Schedule Logic'!I75</f>
        <v>2</v>
      </c>
      <c r="I80" s="87" t="n">
        <v>0</v>
      </c>
      <c r="J80" s="77" t="s">
        <v>303</v>
      </c>
      <c r="K80" s="74" t="s">
        <v>249</v>
      </c>
      <c r="L80" s="75"/>
      <c r="M80" s="75"/>
      <c r="N80" s="71"/>
      <c r="O80" s="72" t="s">
        <v>305</v>
      </c>
    </row>
    <row r="81" customFormat="false" ht="92.25" hidden="false" customHeight="true" outlineLevel="0" collapsed="false">
      <c r="A81" s="60" t="n">
        <v>84</v>
      </c>
      <c r="B81" s="61" t="s">
        <v>23</v>
      </c>
      <c r="C81" s="61" t="s">
        <v>23</v>
      </c>
      <c r="D81" s="62" t="s">
        <v>306</v>
      </c>
      <c r="E81" s="63" t="s">
        <v>123</v>
      </c>
      <c r="F81" s="89" t="n">
        <f aca="false">'Schedule Logic'!G76</f>
        <v>46387</v>
      </c>
      <c r="G81" s="89" t="n">
        <f aca="false">'Schedule Logic'!H76</f>
        <v>46401</v>
      </c>
      <c r="H81" s="90" t="n">
        <f aca="false">'Schedule Logic'!I76</f>
        <v>16</v>
      </c>
      <c r="I81" s="91" t="n">
        <v>0</v>
      </c>
      <c r="J81" s="63" t="s">
        <v>248</v>
      </c>
      <c r="K81" s="68" t="s">
        <v>146</v>
      </c>
      <c r="L81" s="69" t="n">
        <v>9100</v>
      </c>
      <c r="M81" s="69" t="n">
        <v>9100</v>
      </c>
      <c r="N81" s="61"/>
      <c r="O81" s="62" t="s">
        <v>307</v>
      </c>
    </row>
    <row r="82" customFormat="false" ht="39" hidden="false" customHeight="true" outlineLevel="0" collapsed="false">
      <c r="A82" s="80" t="s">
        <v>308</v>
      </c>
      <c r="B82" s="71" t="s">
        <v>23</v>
      </c>
      <c r="C82" s="71" t="s">
        <v>23</v>
      </c>
      <c r="D82" s="72" t="s">
        <v>309</v>
      </c>
      <c r="E82" s="77" t="s">
        <v>123</v>
      </c>
      <c r="F82" s="85" t="n">
        <f aca="false">'Schedule Logic'!G77</f>
        <v>46456</v>
      </c>
      <c r="G82" s="85" t="n">
        <f aca="false">'Schedule Logic'!H77</f>
        <v>46457</v>
      </c>
      <c r="H82" s="86" t="n">
        <f aca="false">'Schedule Logic'!I77</f>
        <v>12</v>
      </c>
      <c r="I82" s="87" t="n">
        <v>0</v>
      </c>
      <c r="J82" s="88" t="s">
        <v>124</v>
      </c>
      <c r="K82" s="74" t="s">
        <v>184</v>
      </c>
      <c r="L82" s="75"/>
      <c r="M82" s="75"/>
      <c r="N82" s="71"/>
      <c r="O82" s="72" t="s">
        <v>310</v>
      </c>
    </row>
    <row r="83" customFormat="false" ht="39" hidden="false" customHeight="true" outlineLevel="0" collapsed="false">
      <c r="A83" s="60" t="n">
        <v>86</v>
      </c>
      <c r="B83" s="61" t="s">
        <v>23</v>
      </c>
      <c r="C83" s="61" t="s">
        <v>23</v>
      </c>
      <c r="D83" s="62" t="s">
        <v>311</v>
      </c>
      <c r="E83" s="63" t="s">
        <v>123</v>
      </c>
      <c r="F83" s="89" t="n">
        <f aca="false">'Schedule Logic'!G78</f>
        <v>46451</v>
      </c>
      <c r="G83" s="89" t="n">
        <f aca="false">'Schedule Logic'!H78</f>
        <v>46451</v>
      </c>
      <c r="H83" s="90" t="n">
        <f aca="false">'Schedule Logic'!I78</f>
        <v>4</v>
      </c>
      <c r="I83" s="91" t="n">
        <v>0</v>
      </c>
      <c r="J83" s="63" t="s">
        <v>248</v>
      </c>
      <c r="K83" s="68" t="s">
        <v>146</v>
      </c>
      <c r="L83" s="69"/>
      <c r="M83" s="69"/>
      <c r="N83" s="61"/>
      <c r="O83" s="62" t="s">
        <v>312</v>
      </c>
    </row>
    <row r="84" customFormat="false" ht="14.25" hidden="false" customHeight="false" outlineLevel="0" collapsed="false">
      <c r="A84" s="80" t="n">
        <v>85</v>
      </c>
      <c r="B84" s="71" t="s">
        <v>23</v>
      </c>
      <c r="C84" s="71" t="s">
        <v>23</v>
      </c>
      <c r="D84" s="72" t="s">
        <v>313</v>
      </c>
      <c r="E84" s="100" t="s">
        <v>218</v>
      </c>
      <c r="F84" s="100"/>
      <c r="G84" s="100"/>
      <c r="H84" s="100"/>
      <c r="I84" s="101"/>
      <c r="J84" s="73" t="s">
        <v>124</v>
      </c>
      <c r="K84" s="74"/>
      <c r="L84" s="75"/>
      <c r="M84" s="75"/>
      <c r="N84" s="71"/>
      <c r="O84" s="72"/>
    </row>
    <row r="85" customFormat="false" ht="14.25" hidden="false" customHeight="false" outlineLevel="0" collapsed="false">
      <c r="A85" s="59" t="s">
        <v>314</v>
      </c>
      <c r="B85" s="105"/>
      <c r="C85" s="105"/>
      <c r="D85" s="105"/>
      <c r="E85" s="105"/>
      <c r="F85" s="105"/>
      <c r="G85" s="105"/>
      <c r="H85" s="105"/>
      <c r="I85" s="105"/>
      <c r="J85" s="105"/>
      <c r="K85" s="105"/>
      <c r="L85" s="105"/>
      <c r="M85" s="105"/>
      <c r="N85" s="105"/>
      <c r="O85" s="106"/>
    </row>
    <row r="86" customFormat="false" ht="14.25" hidden="false" customHeight="false" outlineLevel="0" collapsed="false">
      <c r="A86" s="80" t="n">
        <v>94</v>
      </c>
      <c r="B86" s="71" t="s">
        <v>24</v>
      </c>
      <c r="C86" s="71" t="s">
        <v>315</v>
      </c>
      <c r="D86" s="72" t="s">
        <v>316</v>
      </c>
      <c r="E86" s="77" t="s">
        <v>123</v>
      </c>
      <c r="F86" s="85" t="n">
        <f aca="false">'Schedule Logic'!G80</f>
        <v>46335</v>
      </c>
      <c r="G86" s="85" t="n">
        <f aca="false">'Schedule Logic'!H80</f>
        <v>46342</v>
      </c>
      <c r="H86" s="86" t="n">
        <f aca="false">'Schedule Logic'!I80</f>
        <v>3</v>
      </c>
      <c r="I86" s="87" t="n">
        <v>0</v>
      </c>
      <c r="J86" s="77" t="s">
        <v>303</v>
      </c>
      <c r="K86" s="74" t="s">
        <v>146</v>
      </c>
      <c r="L86" s="75"/>
      <c r="M86" s="75"/>
      <c r="N86" s="71"/>
      <c r="O86" s="72" t="s">
        <v>317</v>
      </c>
    </row>
    <row r="87" customFormat="false" ht="14.25" hidden="false" customHeight="false" outlineLevel="0" collapsed="false">
      <c r="A87" s="60" t="n">
        <v>88</v>
      </c>
      <c r="B87" s="61" t="s">
        <v>24</v>
      </c>
      <c r="C87" s="61" t="s">
        <v>318</v>
      </c>
      <c r="D87" s="62" t="s">
        <v>319</v>
      </c>
      <c r="E87" s="63" t="s">
        <v>123</v>
      </c>
      <c r="F87" s="89" t="n">
        <f aca="false">'Schedule Logic'!G81</f>
        <v>46387</v>
      </c>
      <c r="G87" s="89" t="n">
        <f aca="false">'Schedule Logic'!H81</f>
        <v>46394</v>
      </c>
      <c r="H87" s="90" t="n">
        <f aca="false">'Schedule Logic'!I81</f>
        <v>2</v>
      </c>
      <c r="I87" s="91" t="n">
        <v>0</v>
      </c>
      <c r="J87" s="63" t="s">
        <v>303</v>
      </c>
      <c r="K87" s="68" t="s">
        <v>146</v>
      </c>
      <c r="L87" s="69"/>
      <c r="M87" s="69"/>
      <c r="N87" s="61"/>
      <c r="O87" s="62" t="s">
        <v>320</v>
      </c>
    </row>
    <row r="88" customFormat="false" ht="26.25" hidden="false" customHeight="true" outlineLevel="0" collapsed="false">
      <c r="A88" s="80" t="n">
        <v>95</v>
      </c>
      <c r="B88" s="71" t="s">
        <v>24</v>
      </c>
      <c r="C88" s="71" t="s">
        <v>315</v>
      </c>
      <c r="D88" s="72" t="s">
        <v>321</v>
      </c>
      <c r="E88" s="77" t="s">
        <v>123</v>
      </c>
      <c r="F88" s="85" t="n">
        <f aca="false">'Schedule Logic'!G82</f>
        <v>46378</v>
      </c>
      <c r="G88" s="85" t="n">
        <f aca="false">'Schedule Logic'!H82</f>
        <v>46378</v>
      </c>
      <c r="H88" s="86" t="n">
        <f aca="false">'Schedule Logic'!I82</f>
        <v>8</v>
      </c>
      <c r="I88" s="87" t="n">
        <v>0</v>
      </c>
      <c r="J88" s="77" t="s">
        <v>322</v>
      </c>
      <c r="K88" s="74" t="s">
        <v>184</v>
      </c>
      <c r="L88" s="75"/>
      <c r="M88" s="75"/>
      <c r="N88" s="71"/>
      <c r="O88" s="72" t="s">
        <v>323</v>
      </c>
    </row>
    <row r="89" customFormat="false" ht="39" hidden="false" customHeight="true" outlineLevel="0" collapsed="false">
      <c r="A89" s="60" t="n">
        <v>92</v>
      </c>
      <c r="B89" s="61" t="s">
        <v>24</v>
      </c>
      <c r="C89" s="61" t="s">
        <v>324</v>
      </c>
      <c r="D89" s="62" t="s">
        <v>325</v>
      </c>
      <c r="E89" s="63" t="s">
        <v>123</v>
      </c>
      <c r="F89" s="89" t="n">
        <f aca="false">'Schedule Logic'!G83</f>
        <v>46395</v>
      </c>
      <c r="G89" s="89" t="n">
        <f aca="false">'Schedule Logic'!H83</f>
        <v>46395</v>
      </c>
      <c r="H89" s="90" t="n">
        <f aca="false">'Schedule Logic'!I83</f>
        <v>8</v>
      </c>
      <c r="I89" s="91" t="n">
        <v>0</v>
      </c>
      <c r="J89" s="83" t="s">
        <v>326</v>
      </c>
      <c r="K89" s="68" t="s">
        <v>184</v>
      </c>
      <c r="L89" s="69"/>
      <c r="M89" s="69"/>
      <c r="N89" s="61"/>
      <c r="O89" s="62" t="s">
        <v>327</v>
      </c>
    </row>
    <row r="90" customFormat="false" ht="26.25" hidden="false" customHeight="true" outlineLevel="0" collapsed="false">
      <c r="A90" s="80" t="n">
        <v>97</v>
      </c>
      <c r="B90" s="71" t="s">
        <v>24</v>
      </c>
      <c r="C90" s="71" t="s">
        <v>315</v>
      </c>
      <c r="D90" s="72" t="s">
        <v>328</v>
      </c>
      <c r="E90" s="77" t="s">
        <v>123</v>
      </c>
      <c r="F90" s="85" t="n">
        <f aca="false">'Schedule Logic'!G84</f>
        <v>46409</v>
      </c>
      <c r="G90" s="85" t="n">
        <f aca="false">'Schedule Logic'!H84</f>
        <v>46413</v>
      </c>
      <c r="H90" s="86" t="n">
        <f aca="false">'Schedule Logic'!I84</f>
        <v>16</v>
      </c>
      <c r="I90" s="87" t="n">
        <v>0</v>
      </c>
      <c r="J90" s="77" t="s">
        <v>329</v>
      </c>
      <c r="K90" s="74" t="s">
        <v>184</v>
      </c>
      <c r="L90" s="75"/>
      <c r="M90" s="75"/>
      <c r="N90" s="71"/>
      <c r="O90" s="72" t="s">
        <v>330</v>
      </c>
    </row>
    <row r="91" customFormat="false" ht="26.25" hidden="false" customHeight="true" outlineLevel="0" collapsed="false">
      <c r="A91" s="60" t="n">
        <v>96</v>
      </c>
      <c r="B91" s="61" t="s">
        <v>24</v>
      </c>
      <c r="C91" s="61" t="s">
        <v>315</v>
      </c>
      <c r="D91" s="62" t="s">
        <v>331</v>
      </c>
      <c r="E91" s="63" t="s">
        <v>123</v>
      </c>
      <c r="F91" s="89" t="n">
        <f aca="false">'Schedule Logic'!G85</f>
        <v>46414</v>
      </c>
      <c r="G91" s="89" t="n">
        <f aca="false">'Schedule Logic'!H85</f>
        <v>46419</v>
      </c>
      <c r="H91" s="90" t="n">
        <f aca="false">'Schedule Logic'!I85</f>
        <v>24</v>
      </c>
      <c r="I91" s="91" t="n">
        <v>0</v>
      </c>
      <c r="J91" s="63" t="s">
        <v>329</v>
      </c>
      <c r="K91" s="68" t="s">
        <v>184</v>
      </c>
      <c r="L91" s="69"/>
      <c r="M91" s="69"/>
      <c r="N91" s="61"/>
      <c r="O91" s="62" t="s">
        <v>332</v>
      </c>
    </row>
    <row r="92" customFormat="false" ht="14.25" hidden="false" customHeight="false" outlineLevel="0" collapsed="false">
      <c r="A92" s="80" t="n">
        <v>93</v>
      </c>
      <c r="B92" s="71" t="s">
        <v>24</v>
      </c>
      <c r="C92" s="71" t="s">
        <v>315</v>
      </c>
      <c r="D92" s="72" t="s">
        <v>333</v>
      </c>
      <c r="E92" s="77" t="s">
        <v>123</v>
      </c>
      <c r="F92" s="85" t="n">
        <f aca="false">'Schedule Logic'!G86</f>
        <v>46414</v>
      </c>
      <c r="G92" s="85" t="n">
        <f aca="false">'Schedule Logic'!H86</f>
        <v>46414</v>
      </c>
      <c r="H92" s="86" t="n">
        <f aca="false">'Schedule Logic'!I86</f>
        <v>3</v>
      </c>
      <c r="I92" s="87" t="n">
        <v>0</v>
      </c>
      <c r="J92" s="88" t="s">
        <v>222</v>
      </c>
      <c r="K92" s="74" t="s">
        <v>184</v>
      </c>
      <c r="L92" s="75"/>
      <c r="M92" s="75"/>
      <c r="N92" s="71"/>
      <c r="O92" s="72" t="s">
        <v>334</v>
      </c>
    </row>
    <row r="93" customFormat="false" ht="14.25" hidden="false" customHeight="false" outlineLevel="0" collapsed="false">
      <c r="A93" s="60" t="n">
        <v>99</v>
      </c>
      <c r="B93" s="61" t="s">
        <v>24</v>
      </c>
      <c r="C93" s="61" t="s">
        <v>315</v>
      </c>
      <c r="D93" s="62" t="s">
        <v>335</v>
      </c>
      <c r="E93" s="63" t="s">
        <v>123</v>
      </c>
      <c r="F93" s="89" t="n">
        <f aca="false">'Schedule Logic'!G87</f>
        <v>46409</v>
      </c>
      <c r="G93" s="89" t="n">
        <f aca="false">'Schedule Logic'!H87</f>
        <v>46409</v>
      </c>
      <c r="H93" s="90" t="n">
        <f aca="false">'Schedule Logic'!I87</f>
        <v>2</v>
      </c>
      <c r="I93" s="91" t="n">
        <v>0</v>
      </c>
      <c r="J93" s="63" t="s">
        <v>248</v>
      </c>
      <c r="K93" s="68" t="s">
        <v>184</v>
      </c>
      <c r="L93" s="69"/>
      <c r="M93" s="69"/>
      <c r="N93" s="61"/>
      <c r="O93" s="62" t="s">
        <v>336</v>
      </c>
    </row>
    <row r="94" customFormat="false" ht="39" hidden="false" customHeight="true" outlineLevel="0" collapsed="false">
      <c r="A94" s="80" t="s">
        <v>337</v>
      </c>
      <c r="B94" s="71" t="s">
        <v>24</v>
      </c>
      <c r="C94" s="71" t="s">
        <v>315</v>
      </c>
      <c r="D94" s="72" t="s">
        <v>338</v>
      </c>
      <c r="E94" s="77" t="s">
        <v>123</v>
      </c>
      <c r="F94" s="85" t="n">
        <f aca="false">'Schedule Logic'!G88</f>
        <v>46420</v>
      </c>
      <c r="G94" s="85" t="n">
        <f aca="false">'Schedule Logic'!H88</f>
        <v>46420</v>
      </c>
      <c r="H94" s="86" t="n">
        <f aca="false">'Schedule Logic'!I88</f>
        <v>4</v>
      </c>
      <c r="I94" s="87" t="n">
        <v>0</v>
      </c>
      <c r="J94" s="88" t="s">
        <v>124</v>
      </c>
      <c r="K94" s="74" t="s">
        <v>146</v>
      </c>
      <c r="L94" s="75"/>
      <c r="M94" s="75"/>
      <c r="N94" s="71"/>
      <c r="O94" s="72" t="s">
        <v>339</v>
      </c>
    </row>
    <row r="95" customFormat="false" ht="39" hidden="false" customHeight="true" outlineLevel="0" collapsed="false">
      <c r="A95" s="60" t="n">
        <v>98</v>
      </c>
      <c r="B95" s="61" t="s">
        <v>24</v>
      </c>
      <c r="C95" s="61" t="s">
        <v>315</v>
      </c>
      <c r="D95" s="62" t="s">
        <v>340</v>
      </c>
      <c r="E95" s="63" t="s">
        <v>123</v>
      </c>
      <c r="F95" s="89" t="n">
        <f aca="false">'Schedule Logic'!G89</f>
        <v>46421</v>
      </c>
      <c r="G95" s="89" t="n">
        <f aca="false">'Schedule Logic'!H89</f>
        <v>46434</v>
      </c>
      <c r="H95" s="90" t="n">
        <f aca="false">'Schedule Logic'!I89</f>
        <v>80</v>
      </c>
      <c r="I95" s="91" t="n">
        <v>0</v>
      </c>
      <c r="J95" s="83" t="s">
        <v>341</v>
      </c>
      <c r="K95" s="68" t="s">
        <v>194</v>
      </c>
      <c r="L95" s="69"/>
      <c r="M95" s="69" t="n">
        <v>3500</v>
      </c>
      <c r="N95" s="61"/>
      <c r="O95" s="62" t="s">
        <v>342</v>
      </c>
    </row>
    <row r="96" customFormat="false" ht="14.25" hidden="false" customHeight="false" outlineLevel="0" collapsed="false">
      <c r="A96" s="80" t="n">
        <v>102</v>
      </c>
      <c r="B96" s="71" t="s">
        <v>24</v>
      </c>
      <c r="C96" s="71" t="s">
        <v>343</v>
      </c>
      <c r="D96" s="72" t="s">
        <v>344</v>
      </c>
      <c r="E96" s="77" t="s">
        <v>123</v>
      </c>
      <c r="F96" s="85" t="n">
        <f aca="false">'Schedule Logic'!G90</f>
        <v>46435</v>
      </c>
      <c r="G96" s="85" t="n">
        <f aca="false">'Schedule Logic'!H90</f>
        <v>46436</v>
      </c>
      <c r="H96" s="86" t="n">
        <f aca="false">'Schedule Logic'!I90</f>
        <v>12</v>
      </c>
      <c r="I96" s="87" t="n">
        <v>0</v>
      </c>
      <c r="J96" s="88" t="s">
        <v>345</v>
      </c>
      <c r="K96" s="74" t="s">
        <v>215</v>
      </c>
      <c r="L96" s="75"/>
      <c r="M96" s="75"/>
      <c r="N96" s="71"/>
      <c r="O96" s="72"/>
    </row>
    <row r="97" customFormat="false" ht="14.25" hidden="false" customHeight="false" outlineLevel="0" collapsed="false">
      <c r="A97" s="60" t="n">
        <v>103</v>
      </c>
      <c r="B97" s="61" t="s">
        <v>24</v>
      </c>
      <c r="C97" s="61" t="s">
        <v>343</v>
      </c>
      <c r="D97" s="62" t="s">
        <v>346</v>
      </c>
      <c r="E97" s="63" t="s">
        <v>123</v>
      </c>
      <c r="F97" s="89" t="n">
        <f aca="false">'Schedule Logic'!G91</f>
        <v>46435</v>
      </c>
      <c r="G97" s="89" t="n">
        <f aca="false">'Schedule Logic'!H91</f>
        <v>46435</v>
      </c>
      <c r="H97" s="90" t="n">
        <f aca="false">'Schedule Logic'!I91</f>
        <v>3</v>
      </c>
      <c r="I97" s="91" t="n">
        <v>0</v>
      </c>
      <c r="J97" s="83" t="s">
        <v>347</v>
      </c>
      <c r="K97" s="68" t="s">
        <v>215</v>
      </c>
      <c r="L97" s="69"/>
      <c r="M97" s="69"/>
      <c r="N97" s="61"/>
      <c r="O97" s="62"/>
    </row>
    <row r="98" customFormat="false" ht="14.25" hidden="false" customHeight="false" outlineLevel="0" collapsed="false">
      <c r="A98" s="80" t="n">
        <v>87</v>
      </c>
      <c r="B98" s="71" t="s">
        <v>24</v>
      </c>
      <c r="C98" s="71" t="s">
        <v>318</v>
      </c>
      <c r="D98" s="72" t="s">
        <v>348</v>
      </c>
      <c r="E98" s="77" t="s">
        <v>123</v>
      </c>
      <c r="F98" s="85" t="n">
        <f aca="false">'Schedule Logic'!G92</f>
        <v>46437</v>
      </c>
      <c r="G98" s="85" t="n">
        <f aca="false">'Schedule Logic'!H92</f>
        <v>46437</v>
      </c>
      <c r="H98" s="86" t="n">
        <f aca="false">'Schedule Logic'!I92</f>
        <v>4</v>
      </c>
      <c r="I98" s="87" t="n">
        <v>0</v>
      </c>
      <c r="J98" s="77" t="s">
        <v>293</v>
      </c>
      <c r="K98" s="74" t="s">
        <v>164</v>
      </c>
      <c r="L98" s="75"/>
      <c r="M98" s="75"/>
      <c r="N98" s="71" t="s">
        <v>294</v>
      </c>
      <c r="O98" s="72" t="s">
        <v>349</v>
      </c>
    </row>
    <row r="99" customFormat="false" ht="14.25" hidden="false" customHeight="false" outlineLevel="0" collapsed="false">
      <c r="A99" s="60" t="n">
        <v>89</v>
      </c>
      <c r="B99" s="61" t="s">
        <v>24</v>
      </c>
      <c r="C99" s="61" t="s">
        <v>318</v>
      </c>
      <c r="D99" s="62" t="s">
        <v>350</v>
      </c>
      <c r="E99" s="63" t="s">
        <v>123</v>
      </c>
      <c r="F99" s="89" t="n">
        <f aca="false">'Schedule Logic'!G93</f>
        <v>46440</v>
      </c>
      <c r="G99" s="89" t="n">
        <f aca="false">'Schedule Logic'!H93</f>
        <v>46449</v>
      </c>
      <c r="H99" s="90" t="n">
        <f aca="false">'Schedule Logic'!I93</f>
        <v>6</v>
      </c>
      <c r="I99" s="91" t="n">
        <v>0</v>
      </c>
      <c r="J99" s="63" t="s">
        <v>298</v>
      </c>
      <c r="K99" s="68" t="s">
        <v>146</v>
      </c>
      <c r="L99" s="69"/>
      <c r="M99" s="69"/>
      <c r="N99" s="61" t="s">
        <v>300</v>
      </c>
      <c r="O99" s="62" t="s">
        <v>351</v>
      </c>
    </row>
    <row r="100" customFormat="false" ht="14.25" hidden="false" customHeight="false" outlineLevel="0" collapsed="false">
      <c r="A100" s="80" t="n">
        <v>100</v>
      </c>
      <c r="B100" s="71" t="s">
        <v>24</v>
      </c>
      <c r="C100" s="71" t="s">
        <v>315</v>
      </c>
      <c r="D100" s="72" t="s">
        <v>352</v>
      </c>
      <c r="E100" s="77" t="s">
        <v>123</v>
      </c>
      <c r="F100" s="85" t="n">
        <f aca="false">'Schedule Logic'!G94</f>
        <v>46440</v>
      </c>
      <c r="G100" s="85" t="n">
        <f aca="false">'Schedule Logic'!H94</f>
        <v>46449</v>
      </c>
      <c r="H100" s="86" t="n">
        <f aca="false">'Schedule Logic'!I94</f>
        <v>4</v>
      </c>
      <c r="I100" s="87" t="n">
        <v>0</v>
      </c>
      <c r="J100" s="104" t="s">
        <v>353</v>
      </c>
      <c r="K100" s="74" t="s">
        <v>354</v>
      </c>
      <c r="L100" s="75"/>
      <c r="M100" s="75"/>
      <c r="N100" s="71" t="s">
        <v>300</v>
      </c>
      <c r="O100" s="72" t="s">
        <v>355</v>
      </c>
    </row>
    <row r="101" customFormat="false" ht="26.25" hidden="false" customHeight="true" outlineLevel="0" collapsed="false">
      <c r="A101" s="60" t="n">
        <v>101</v>
      </c>
      <c r="B101" s="61" t="s">
        <v>24</v>
      </c>
      <c r="C101" s="61" t="s">
        <v>315</v>
      </c>
      <c r="D101" s="62" t="s">
        <v>356</v>
      </c>
      <c r="E101" s="63" t="s">
        <v>123</v>
      </c>
      <c r="F101" s="89" t="n">
        <f aca="false">'Schedule Logic'!G95</f>
        <v>46450</v>
      </c>
      <c r="G101" s="89" t="n">
        <f aca="false">'Schedule Logic'!H95</f>
        <v>46458</v>
      </c>
      <c r="H101" s="90" t="n">
        <f aca="false">'Schedule Logic'!I95</f>
        <v>6</v>
      </c>
      <c r="I101" s="91" t="n">
        <v>0</v>
      </c>
      <c r="J101" s="107" t="s">
        <v>357</v>
      </c>
      <c r="K101" s="68" t="s">
        <v>358</v>
      </c>
      <c r="L101" s="69" t="n">
        <v>3000</v>
      </c>
      <c r="M101" s="69" t="n">
        <v>3000</v>
      </c>
      <c r="N101" s="61" t="s">
        <v>359</v>
      </c>
      <c r="O101" s="62" t="s">
        <v>360</v>
      </c>
    </row>
    <row r="102" customFormat="false" ht="14.25" hidden="false" customHeight="false" outlineLevel="0" collapsed="false">
      <c r="A102" s="80" t="n">
        <v>90</v>
      </c>
      <c r="B102" s="71" t="s">
        <v>24</v>
      </c>
      <c r="C102" s="71" t="s">
        <v>318</v>
      </c>
      <c r="D102" s="72" t="s">
        <v>361</v>
      </c>
      <c r="E102" s="77" t="s">
        <v>123</v>
      </c>
      <c r="F102" s="85" t="n">
        <f aca="false">'Schedule Logic'!G96</f>
        <v>46450</v>
      </c>
      <c r="G102" s="85" t="n">
        <f aca="false">'Schedule Logic'!H96</f>
        <v>46450</v>
      </c>
      <c r="H102" s="86" t="n">
        <f aca="false">'Schedule Logic'!I96</f>
        <v>6</v>
      </c>
      <c r="I102" s="87" t="n">
        <v>0</v>
      </c>
      <c r="J102" s="104" t="s">
        <v>362</v>
      </c>
      <c r="K102" s="74" t="s">
        <v>184</v>
      </c>
      <c r="L102" s="75"/>
      <c r="M102" s="75"/>
      <c r="N102" s="71"/>
      <c r="O102" s="72" t="s">
        <v>363</v>
      </c>
    </row>
    <row r="103" customFormat="false" ht="39" hidden="false" customHeight="true" outlineLevel="0" collapsed="false">
      <c r="A103" s="60" t="n">
        <v>91</v>
      </c>
      <c r="B103" s="61" t="s">
        <v>24</v>
      </c>
      <c r="C103" s="61" t="s">
        <v>364</v>
      </c>
      <c r="D103" s="62" t="s">
        <v>365</v>
      </c>
      <c r="E103" s="63" t="s">
        <v>123</v>
      </c>
      <c r="F103" s="89" t="n">
        <f aca="false">'Schedule Logic'!G97</f>
        <v>46437</v>
      </c>
      <c r="G103" s="89" t="n">
        <f aca="false">'Schedule Logic'!H97</f>
        <v>46437</v>
      </c>
      <c r="H103" s="90" t="n">
        <f aca="false">'Schedule Logic'!I97</f>
        <v>4</v>
      </c>
      <c r="I103" s="91" t="n">
        <v>0</v>
      </c>
      <c r="J103" s="63" t="s">
        <v>366</v>
      </c>
      <c r="K103" s="68" t="s">
        <v>184</v>
      </c>
      <c r="L103" s="69"/>
      <c r="M103" s="69"/>
      <c r="N103" s="61"/>
      <c r="O103" s="62" t="s">
        <v>367</v>
      </c>
    </row>
    <row r="104" customFormat="false" ht="14.25" hidden="false" customHeight="false" outlineLevel="0" collapsed="false">
      <c r="A104" s="80" t="n">
        <v>104</v>
      </c>
      <c r="B104" s="71" t="s">
        <v>24</v>
      </c>
      <c r="C104" s="71" t="s">
        <v>343</v>
      </c>
      <c r="D104" s="72" t="s">
        <v>368</v>
      </c>
      <c r="E104" s="77" t="s">
        <v>123</v>
      </c>
      <c r="F104" s="85" t="n">
        <f aca="false">'Schedule Logic'!G98</f>
        <v>46451</v>
      </c>
      <c r="G104" s="85" t="n">
        <f aca="false">'Schedule Logic'!H98</f>
        <v>46451</v>
      </c>
      <c r="H104" s="86" t="n">
        <f aca="false">'Schedule Logic'!I98</f>
        <v>3</v>
      </c>
      <c r="I104" s="87" t="n">
        <v>0</v>
      </c>
      <c r="J104" s="104" t="s">
        <v>245</v>
      </c>
      <c r="K104" s="74" t="s">
        <v>369</v>
      </c>
      <c r="L104" s="75"/>
      <c r="M104" s="75"/>
      <c r="N104" s="71"/>
      <c r="O104" s="72" t="s">
        <v>370</v>
      </c>
    </row>
    <row r="105" customFormat="false" ht="14.25" hidden="false" customHeight="false" outlineLevel="0" collapsed="false">
      <c r="A105" s="60" t="n">
        <v>105</v>
      </c>
      <c r="B105" s="61" t="s">
        <v>24</v>
      </c>
      <c r="C105" s="61" t="s">
        <v>371</v>
      </c>
      <c r="D105" s="62" t="s">
        <v>372</v>
      </c>
      <c r="E105" s="63" t="s">
        <v>123</v>
      </c>
      <c r="F105" s="89" t="n">
        <f aca="false">'Schedule Logic'!G99</f>
        <v>46451</v>
      </c>
      <c r="G105" s="89" t="n">
        <f aca="false">'Schedule Logic'!H99</f>
        <v>46451</v>
      </c>
      <c r="H105" s="90" t="n">
        <f aca="false">'Schedule Logic'!I99</f>
        <v>3</v>
      </c>
      <c r="I105" s="91" t="n">
        <v>0</v>
      </c>
      <c r="J105" s="107" t="s">
        <v>245</v>
      </c>
      <c r="K105" s="68" t="s">
        <v>184</v>
      </c>
      <c r="L105" s="69"/>
      <c r="M105" s="69"/>
      <c r="N105" s="61"/>
      <c r="O105" s="62" t="s">
        <v>373</v>
      </c>
    </row>
    <row r="106" customFormat="false" ht="14.25" hidden="false" customHeight="false" outlineLevel="0" collapsed="false">
      <c r="A106" s="60"/>
      <c r="B106" s="105"/>
      <c r="C106" s="105"/>
      <c r="D106" s="105"/>
      <c r="E106" s="105"/>
      <c r="F106" s="105"/>
      <c r="G106" s="105"/>
      <c r="H106" s="105"/>
      <c r="I106" s="105"/>
      <c r="J106" s="105"/>
      <c r="K106" s="105"/>
      <c r="L106" s="105"/>
      <c r="M106" s="105"/>
      <c r="N106" s="105"/>
      <c r="O106" s="106"/>
    </row>
    <row r="107" customFormat="false" ht="14.25" hidden="false" customHeight="false" outlineLevel="0" collapsed="false">
      <c r="A107" s="59" t="s">
        <v>374</v>
      </c>
      <c r="B107" s="105"/>
      <c r="C107" s="105"/>
      <c r="D107" s="105"/>
      <c r="E107" s="105"/>
      <c r="F107" s="105"/>
      <c r="G107" s="105"/>
      <c r="H107" s="105"/>
      <c r="I107" s="105"/>
      <c r="J107" s="105"/>
      <c r="K107" s="105"/>
      <c r="L107" s="105"/>
      <c r="M107" s="105"/>
      <c r="N107" s="105"/>
      <c r="O107" s="106"/>
    </row>
    <row r="108" customFormat="false" ht="14.25" hidden="false" customHeight="false" outlineLevel="0" collapsed="false">
      <c r="A108" s="80" t="n">
        <v>107</v>
      </c>
      <c r="B108" s="71" t="s">
        <v>25</v>
      </c>
      <c r="C108" s="71" t="s">
        <v>318</v>
      </c>
      <c r="D108" s="72" t="s">
        <v>375</v>
      </c>
      <c r="E108" s="77" t="s">
        <v>123</v>
      </c>
      <c r="F108" s="85" t="n">
        <f aca="false">'Schedule Logic'!G101</f>
        <v>46387</v>
      </c>
      <c r="G108" s="85" t="n">
        <f aca="false">'Schedule Logic'!H101</f>
        <v>46394</v>
      </c>
      <c r="H108" s="86" t="n">
        <f aca="false">'Schedule Logic'!I101</f>
        <v>1</v>
      </c>
      <c r="I108" s="87" t="n">
        <v>0</v>
      </c>
      <c r="J108" s="77" t="s">
        <v>303</v>
      </c>
      <c r="K108" s="74" t="s">
        <v>146</v>
      </c>
      <c r="L108" s="75"/>
      <c r="M108" s="75"/>
      <c r="N108" s="71"/>
      <c r="O108" s="72" t="s">
        <v>320</v>
      </c>
    </row>
    <row r="109" customFormat="false" ht="26.25" hidden="false" customHeight="true" outlineLevel="0" collapsed="false">
      <c r="A109" s="60" t="n">
        <v>113</v>
      </c>
      <c r="B109" s="61" t="s">
        <v>25</v>
      </c>
      <c r="C109" s="61" t="s">
        <v>315</v>
      </c>
      <c r="D109" s="62" t="s">
        <v>328</v>
      </c>
      <c r="E109" s="63" t="s">
        <v>123</v>
      </c>
      <c r="F109" s="89" t="n">
        <f aca="false">'Schedule Logic'!G102</f>
        <v>46409</v>
      </c>
      <c r="G109" s="89" t="n">
        <f aca="false">'Schedule Logic'!H102</f>
        <v>46413</v>
      </c>
      <c r="H109" s="90" t="n">
        <f aca="false">'Schedule Logic'!I102</f>
        <v>16</v>
      </c>
      <c r="I109" s="91" t="n">
        <v>0</v>
      </c>
      <c r="J109" s="63" t="s">
        <v>329</v>
      </c>
      <c r="K109" s="68" t="s">
        <v>184</v>
      </c>
      <c r="L109" s="69"/>
      <c r="M109" s="69"/>
      <c r="N109" s="61"/>
      <c r="O109" s="62" t="s">
        <v>376</v>
      </c>
    </row>
    <row r="110" customFormat="false" ht="26.25" hidden="false" customHeight="true" outlineLevel="0" collapsed="false">
      <c r="A110" s="80" t="n">
        <v>112</v>
      </c>
      <c r="B110" s="71" t="s">
        <v>25</v>
      </c>
      <c r="C110" s="71" t="s">
        <v>315</v>
      </c>
      <c r="D110" s="72" t="s">
        <v>331</v>
      </c>
      <c r="E110" s="77" t="s">
        <v>123</v>
      </c>
      <c r="F110" s="85" t="n">
        <f aca="false">'Schedule Logic'!G103</f>
        <v>46414</v>
      </c>
      <c r="G110" s="85" t="n">
        <f aca="false">'Schedule Logic'!H103</f>
        <v>46419</v>
      </c>
      <c r="H110" s="86" t="n">
        <f aca="false">'Schedule Logic'!I103</f>
        <v>24</v>
      </c>
      <c r="I110" s="87" t="n">
        <v>0</v>
      </c>
      <c r="J110" s="77" t="s">
        <v>329</v>
      </c>
      <c r="K110" s="74" t="s">
        <v>184</v>
      </c>
      <c r="L110" s="75"/>
      <c r="M110" s="75"/>
      <c r="N110" s="71"/>
      <c r="O110" s="72" t="s">
        <v>377</v>
      </c>
    </row>
    <row r="111" customFormat="false" ht="14.25" hidden="false" customHeight="false" outlineLevel="0" collapsed="false">
      <c r="A111" s="60" t="n">
        <v>111</v>
      </c>
      <c r="B111" s="61" t="s">
        <v>25</v>
      </c>
      <c r="C111" s="61" t="s">
        <v>315</v>
      </c>
      <c r="D111" s="62" t="s">
        <v>333</v>
      </c>
      <c r="E111" s="63" t="s">
        <v>123</v>
      </c>
      <c r="F111" s="89" t="n">
        <f aca="false">'Schedule Logic'!G104</f>
        <v>46414</v>
      </c>
      <c r="G111" s="89" t="n">
        <f aca="false">'Schedule Logic'!H104</f>
        <v>46414</v>
      </c>
      <c r="H111" s="90" t="n">
        <f aca="false">'Schedule Logic'!I104</f>
        <v>3</v>
      </c>
      <c r="I111" s="91" t="n">
        <v>0</v>
      </c>
      <c r="J111" s="83" t="s">
        <v>222</v>
      </c>
      <c r="K111" s="68" t="s">
        <v>184</v>
      </c>
      <c r="L111" s="69"/>
      <c r="M111" s="69"/>
      <c r="N111" s="61"/>
      <c r="O111" s="62" t="s">
        <v>334</v>
      </c>
    </row>
    <row r="112" customFormat="false" ht="14.25" hidden="false" customHeight="false" outlineLevel="0" collapsed="false">
      <c r="A112" s="80" t="n">
        <v>115</v>
      </c>
      <c r="B112" s="71" t="s">
        <v>25</v>
      </c>
      <c r="C112" s="71" t="s">
        <v>315</v>
      </c>
      <c r="D112" s="72" t="s">
        <v>335</v>
      </c>
      <c r="E112" s="77" t="s">
        <v>123</v>
      </c>
      <c r="F112" s="85" t="n">
        <f aca="false">'Schedule Logic'!G105</f>
        <v>46409</v>
      </c>
      <c r="G112" s="85" t="n">
        <f aca="false">'Schedule Logic'!H105</f>
        <v>46409</v>
      </c>
      <c r="H112" s="86" t="n">
        <f aca="false">'Schedule Logic'!I105</f>
        <v>2</v>
      </c>
      <c r="I112" s="87" t="n">
        <v>0</v>
      </c>
      <c r="J112" s="77" t="s">
        <v>248</v>
      </c>
      <c r="K112" s="74" t="s">
        <v>184</v>
      </c>
      <c r="L112" s="75"/>
      <c r="M112" s="75"/>
      <c r="N112" s="71"/>
      <c r="O112" s="72" t="s">
        <v>336</v>
      </c>
    </row>
    <row r="113" customFormat="false" ht="26.25" hidden="false" customHeight="true" outlineLevel="0" collapsed="false">
      <c r="A113" s="60" t="n">
        <v>114</v>
      </c>
      <c r="B113" s="61" t="s">
        <v>25</v>
      </c>
      <c r="C113" s="61" t="s">
        <v>315</v>
      </c>
      <c r="D113" s="62" t="s">
        <v>378</v>
      </c>
      <c r="E113" s="63" t="s">
        <v>123</v>
      </c>
      <c r="F113" s="89" t="n">
        <f aca="false">'Schedule Logic'!G106</f>
        <v>46428</v>
      </c>
      <c r="G113" s="89" t="n">
        <f aca="false">'Schedule Logic'!H106</f>
        <v>46434</v>
      </c>
      <c r="H113" s="90" t="str">
        <f aca="false">'Schedule Logic'!I106</f>
        <v>-</v>
      </c>
      <c r="I113" s="91" t="n">
        <v>0</v>
      </c>
      <c r="J113" s="83" t="s">
        <v>341</v>
      </c>
      <c r="K113" s="68" t="s">
        <v>194</v>
      </c>
      <c r="L113" s="69"/>
      <c r="M113" s="69"/>
      <c r="N113" s="61"/>
      <c r="O113" s="62" t="s">
        <v>379</v>
      </c>
    </row>
    <row r="114" customFormat="false" ht="14.25" hidden="false" customHeight="false" outlineLevel="0" collapsed="false">
      <c r="A114" s="80" t="n">
        <v>118</v>
      </c>
      <c r="B114" s="71" t="s">
        <v>25</v>
      </c>
      <c r="C114" s="71" t="s">
        <v>343</v>
      </c>
      <c r="D114" s="72" t="s">
        <v>346</v>
      </c>
      <c r="E114" s="77" t="s">
        <v>123</v>
      </c>
      <c r="F114" s="85" t="n">
        <f aca="false">'Schedule Logic'!G107</f>
        <v>46435</v>
      </c>
      <c r="G114" s="85" t="n">
        <f aca="false">'Schedule Logic'!H107</f>
        <v>46435</v>
      </c>
      <c r="H114" s="86" t="n">
        <f aca="false">'Schedule Logic'!I107</f>
        <v>3</v>
      </c>
      <c r="I114" s="87" t="n">
        <v>0</v>
      </c>
      <c r="J114" s="88" t="s">
        <v>347</v>
      </c>
      <c r="K114" s="74" t="s">
        <v>215</v>
      </c>
      <c r="L114" s="75"/>
      <c r="M114" s="75"/>
      <c r="N114" s="71"/>
      <c r="O114" s="72"/>
    </row>
    <row r="115" customFormat="false" ht="14.25" hidden="false" customHeight="false" outlineLevel="0" collapsed="false">
      <c r="A115" s="60" t="n">
        <v>106</v>
      </c>
      <c r="B115" s="61" t="s">
        <v>25</v>
      </c>
      <c r="C115" s="61" t="s">
        <v>318</v>
      </c>
      <c r="D115" s="62" t="s">
        <v>348</v>
      </c>
      <c r="E115" s="63" t="s">
        <v>123</v>
      </c>
      <c r="F115" s="89" t="n">
        <f aca="false">'Schedule Logic'!G108</f>
        <v>46437</v>
      </c>
      <c r="G115" s="89" t="n">
        <f aca="false">'Schedule Logic'!H108</f>
        <v>46437</v>
      </c>
      <c r="H115" s="90" t="n">
        <f aca="false">'Schedule Logic'!I108</f>
        <v>4</v>
      </c>
      <c r="I115" s="91" t="n">
        <v>0</v>
      </c>
      <c r="J115" s="63" t="s">
        <v>293</v>
      </c>
      <c r="K115" s="68" t="s">
        <v>164</v>
      </c>
      <c r="L115" s="69"/>
      <c r="M115" s="69"/>
      <c r="N115" s="61" t="s">
        <v>294</v>
      </c>
      <c r="O115" s="62" t="s">
        <v>349</v>
      </c>
    </row>
    <row r="116" customFormat="false" ht="14.25" hidden="false" customHeight="false" outlineLevel="0" collapsed="false">
      <c r="A116" s="80" t="n">
        <v>108</v>
      </c>
      <c r="B116" s="71" t="s">
        <v>25</v>
      </c>
      <c r="C116" s="71" t="s">
        <v>318</v>
      </c>
      <c r="D116" s="72" t="s">
        <v>380</v>
      </c>
      <c r="E116" s="77" t="s">
        <v>123</v>
      </c>
      <c r="F116" s="85" t="n">
        <f aca="false">'Schedule Logic'!G109</f>
        <v>46440</v>
      </c>
      <c r="G116" s="85" t="n">
        <f aca="false">'Schedule Logic'!H109</f>
        <v>46449</v>
      </c>
      <c r="H116" s="86" t="n">
        <f aca="false">'Schedule Logic'!I109</f>
        <v>4</v>
      </c>
      <c r="I116" s="87" t="n">
        <v>0</v>
      </c>
      <c r="J116" s="77" t="s">
        <v>298</v>
      </c>
      <c r="K116" s="74" t="s">
        <v>146</v>
      </c>
      <c r="L116" s="75"/>
      <c r="M116" s="75"/>
      <c r="N116" s="71" t="s">
        <v>300</v>
      </c>
      <c r="O116" s="72" t="s">
        <v>351</v>
      </c>
    </row>
    <row r="117" customFormat="false" ht="14.25" hidden="false" customHeight="false" outlineLevel="0" collapsed="false">
      <c r="A117" s="60" t="n">
        <v>116</v>
      </c>
      <c r="B117" s="61" t="s">
        <v>25</v>
      </c>
      <c r="C117" s="61" t="s">
        <v>315</v>
      </c>
      <c r="D117" s="62" t="s">
        <v>352</v>
      </c>
      <c r="E117" s="63" t="s">
        <v>123</v>
      </c>
      <c r="F117" s="89" t="n">
        <f aca="false">'Schedule Logic'!G110</f>
        <v>46440</v>
      </c>
      <c r="G117" s="89" t="n">
        <f aca="false">'Schedule Logic'!H110</f>
        <v>46449</v>
      </c>
      <c r="H117" s="90" t="n">
        <f aca="false">'Schedule Logic'!I110</f>
        <v>3</v>
      </c>
      <c r="I117" s="91" t="n">
        <v>0</v>
      </c>
      <c r="J117" s="107" t="s">
        <v>353</v>
      </c>
      <c r="K117" s="68" t="s">
        <v>354</v>
      </c>
      <c r="L117" s="69"/>
      <c r="M117" s="69"/>
      <c r="N117" s="61" t="s">
        <v>300</v>
      </c>
      <c r="O117" s="62"/>
    </row>
    <row r="118" customFormat="false" ht="26.25" hidden="false" customHeight="true" outlineLevel="0" collapsed="false">
      <c r="A118" s="80" t="n">
        <v>117</v>
      </c>
      <c r="B118" s="71" t="s">
        <v>25</v>
      </c>
      <c r="C118" s="71" t="s">
        <v>315</v>
      </c>
      <c r="D118" s="72" t="s">
        <v>381</v>
      </c>
      <c r="E118" s="77" t="s">
        <v>123</v>
      </c>
      <c r="F118" s="85" t="n">
        <f aca="false">'Schedule Logic'!G111</f>
        <v>46450</v>
      </c>
      <c r="G118" s="85" t="n">
        <f aca="false">'Schedule Logic'!H111</f>
        <v>46451</v>
      </c>
      <c r="H118" s="86" t="n">
        <f aca="false">'Schedule Logic'!I111</f>
        <v>8</v>
      </c>
      <c r="I118" s="87" t="n">
        <v>0</v>
      </c>
      <c r="J118" s="104" t="s">
        <v>357</v>
      </c>
      <c r="K118" s="74" t="s">
        <v>382</v>
      </c>
      <c r="L118" s="75"/>
      <c r="M118" s="75"/>
      <c r="N118" s="71"/>
      <c r="O118" s="72" t="s">
        <v>383</v>
      </c>
    </row>
    <row r="119" customFormat="false" ht="14.25" hidden="false" customHeight="false" outlineLevel="0" collapsed="false">
      <c r="A119" s="60" t="n">
        <v>109</v>
      </c>
      <c r="B119" s="61" t="s">
        <v>25</v>
      </c>
      <c r="C119" s="61" t="s">
        <v>318</v>
      </c>
      <c r="D119" s="62" t="s">
        <v>384</v>
      </c>
      <c r="E119" s="63" t="s">
        <v>123</v>
      </c>
      <c r="F119" s="89" t="n">
        <f aca="false">'Schedule Logic'!G112</f>
        <v>46450</v>
      </c>
      <c r="G119" s="89" t="n">
        <f aca="false">'Schedule Logic'!H112</f>
        <v>46450</v>
      </c>
      <c r="H119" s="90" t="n">
        <f aca="false">'Schedule Logic'!I112</f>
        <v>4</v>
      </c>
      <c r="I119" s="91" t="n">
        <v>0</v>
      </c>
      <c r="J119" s="107" t="s">
        <v>362</v>
      </c>
      <c r="K119" s="68" t="s">
        <v>184</v>
      </c>
      <c r="L119" s="69"/>
      <c r="M119" s="69"/>
      <c r="N119" s="61"/>
      <c r="O119" s="62" t="s">
        <v>363</v>
      </c>
    </row>
    <row r="120" customFormat="false" ht="26.25" hidden="false" customHeight="true" outlineLevel="0" collapsed="false">
      <c r="A120" s="80" t="n">
        <v>110</v>
      </c>
      <c r="B120" s="71" t="s">
        <v>25</v>
      </c>
      <c r="C120" s="71" t="s">
        <v>364</v>
      </c>
      <c r="D120" s="72" t="s">
        <v>365</v>
      </c>
      <c r="E120" s="77" t="s">
        <v>123</v>
      </c>
      <c r="F120" s="85" t="n">
        <f aca="false">'Schedule Logic'!G113</f>
        <v>46437</v>
      </c>
      <c r="G120" s="85" t="n">
        <f aca="false">'Schedule Logic'!H113</f>
        <v>46437</v>
      </c>
      <c r="H120" s="86" t="n">
        <f aca="false">'Schedule Logic'!I113</f>
        <v>4</v>
      </c>
      <c r="I120" s="87" t="n">
        <v>0</v>
      </c>
      <c r="J120" s="77" t="s">
        <v>366</v>
      </c>
      <c r="K120" s="74" t="s">
        <v>184</v>
      </c>
      <c r="L120" s="75"/>
      <c r="M120" s="75"/>
      <c r="N120" s="71"/>
      <c r="O120" s="72" t="s">
        <v>385</v>
      </c>
    </row>
    <row r="121" customFormat="false" ht="14.25" hidden="false" customHeight="false" outlineLevel="0" collapsed="false">
      <c r="A121" s="60" t="n">
        <v>119</v>
      </c>
      <c r="B121" s="61" t="s">
        <v>25</v>
      </c>
      <c r="C121" s="61" t="s">
        <v>371</v>
      </c>
      <c r="D121" s="62" t="s">
        <v>372</v>
      </c>
      <c r="E121" s="63" t="s">
        <v>123</v>
      </c>
      <c r="F121" s="89" t="n">
        <f aca="false">'Schedule Logic'!G114</f>
        <v>46451</v>
      </c>
      <c r="G121" s="89" t="n">
        <f aca="false">'Schedule Logic'!H114</f>
        <v>46451</v>
      </c>
      <c r="H121" s="90" t="n">
        <f aca="false">'Schedule Logic'!I114</f>
        <v>3</v>
      </c>
      <c r="I121" s="91" t="n">
        <v>0</v>
      </c>
      <c r="J121" s="107" t="s">
        <v>245</v>
      </c>
      <c r="K121" s="68" t="s">
        <v>184</v>
      </c>
      <c r="L121" s="69"/>
      <c r="M121" s="69"/>
      <c r="N121" s="61"/>
      <c r="O121" s="62" t="s">
        <v>386</v>
      </c>
    </row>
    <row r="122" customFormat="false" ht="14.25" hidden="false" customHeight="false" outlineLevel="0" collapsed="false">
      <c r="A122" s="60"/>
      <c r="B122" s="105"/>
      <c r="C122" s="105"/>
      <c r="D122" s="105"/>
      <c r="E122" s="105"/>
      <c r="F122" s="105"/>
      <c r="G122" s="105"/>
      <c r="H122" s="105"/>
      <c r="I122" s="105"/>
      <c r="J122" s="105"/>
      <c r="K122" s="105"/>
      <c r="L122" s="105"/>
      <c r="M122" s="105"/>
      <c r="N122" s="105"/>
      <c r="O122" s="106"/>
    </row>
    <row r="123" customFormat="false" ht="14.25" hidden="false" customHeight="false" outlineLevel="0" collapsed="false">
      <c r="A123" s="60"/>
      <c r="B123" s="105"/>
      <c r="C123" s="105"/>
      <c r="D123" s="105"/>
      <c r="E123" s="105"/>
      <c r="F123" s="105"/>
      <c r="G123" s="105"/>
      <c r="H123" s="105"/>
      <c r="I123" s="105"/>
      <c r="J123" s="105"/>
      <c r="K123" s="105"/>
      <c r="L123" s="105"/>
      <c r="M123" s="105"/>
      <c r="N123" s="105"/>
      <c r="O123" s="106"/>
    </row>
    <row r="124" customFormat="false" ht="14.25" hidden="false" customHeight="false" outlineLevel="0" collapsed="false">
      <c r="A124" s="59" t="s">
        <v>387</v>
      </c>
      <c r="B124" s="105"/>
      <c r="C124" s="105"/>
      <c r="D124" s="105"/>
      <c r="E124" s="105"/>
      <c r="F124" s="105"/>
      <c r="G124" s="105"/>
      <c r="H124" s="105"/>
      <c r="I124" s="105"/>
      <c r="J124" s="105"/>
      <c r="K124" s="105"/>
      <c r="L124" s="105"/>
      <c r="M124" s="105"/>
      <c r="N124" s="105"/>
      <c r="O124" s="106"/>
    </row>
    <row r="125" customFormat="false" ht="39" hidden="false" customHeight="true" outlineLevel="0" collapsed="false">
      <c r="A125" s="80" t="s">
        <v>388</v>
      </c>
      <c r="B125" s="71" t="s">
        <v>26</v>
      </c>
      <c r="C125" s="71" t="s">
        <v>389</v>
      </c>
      <c r="D125" s="72" t="s">
        <v>390</v>
      </c>
      <c r="E125" s="77" t="s">
        <v>123</v>
      </c>
      <c r="F125" s="85" t="n">
        <f aca="false">'Schedule Logic'!G116</f>
        <v>46414</v>
      </c>
      <c r="G125" s="85" t="n">
        <f aca="false">'Schedule Logic'!H116</f>
        <v>46423</v>
      </c>
      <c r="H125" s="86" t="n">
        <f aca="false">'Schedule Logic'!I116</f>
        <v>96</v>
      </c>
      <c r="I125" s="87" t="n">
        <v>0</v>
      </c>
      <c r="J125" s="88" t="s">
        <v>124</v>
      </c>
      <c r="K125" s="74" t="s">
        <v>391</v>
      </c>
      <c r="L125" s="75"/>
      <c r="M125" s="75"/>
      <c r="N125" s="71"/>
      <c r="O125" s="72" t="s">
        <v>392</v>
      </c>
    </row>
    <row r="126" customFormat="false" ht="14.25" hidden="false" customHeight="false" outlineLevel="0" collapsed="false">
      <c r="A126" s="60" t="n">
        <v>120</v>
      </c>
      <c r="B126" s="61" t="s">
        <v>26</v>
      </c>
      <c r="C126" s="61" t="s">
        <v>389</v>
      </c>
      <c r="D126" s="62" t="s">
        <v>393</v>
      </c>
      <c r="E126" s="63" t="s">
        <v>123</v>
      </c>
      <c r="F126" s="89" t="n">
        <f aca="false">'Schedule Logic'!G117</f>
        <v>46426</v>
      </c>
      <c r="G126" s="89" t="n">
        <f aca="false">'Schedule Logic'!H117</f>
        <v>46426</v>
      </c>
      <c r="H126" s="90" t="n">
        <f aca="false">'Schedule Logic'!I117</f>
        <v>8</v>
      </c>
      <c r="I126" s="91" t="n">
        <v>0</v>
      </c>
      <c r="J126" s="83" t="s">
        <v>394</v>
      </c>
      <c r="K126" s="68" t="s">
        <v>184</v>
      </c>
      <c r="L126" s="69"/>
      <c r="M126" s="69"/>
      <c r="N126" s="61"/>
      <c r="O126" s="62"/>
    </row>
    <row r="127" customFormat="false" ht="39" hidden="false" customHeight="true" outlineLevel="0" collapsed="false">
      <c r="A127" s="80" t="s">
        <v>395</v>
      </c>
      <c r="B127" s="71" t="s">
        <v>26</v>
      </c>
      <c r="C127" s="71" t="s">
        <v>396</v>
      </c>
      <c r="D127" s="72" t="s">
        <v>397</v>
      </c>
      <c r="E127" s="77" t="s">
        <v>123</v>
      </c>
      <c r="F127" s="85" t="n">
        <f aca="false">'Schedule Logic'!G118</f>
        <v>46426</v>
      </c>
      <c r="G127" s="85" t="n">
        <f aca="false">'Schedule Logic'!H118</f>
        <v>46430</v>
      </c>
      <c r="H127" s="86" t="n">
        <f aca="false">'Schedule Logic'!I118</f>
        <v>60</v>
      </c>
      <c r="I127" s="87" t="n">
        <v>0</v>
      </c>
      <c r="J127" s="88" t="s">
        <v>124</v>
      </c>
      <c r="K127" s="74" t="s">
        <v>184</v>
      </c>
      <c r="L127" s="75"/>
      <c r="M127" s="75"/>
      <c r="N127" s="71"/>
      <c r="O127" s="72" t="s">
        <v>398</v>
      </c>
    </row>
    <row r="128" customFormat="false" ht="14.25" hidden="false" customHeight="false" outlineLevel="0" collapsed="false">
      <c r="A128" s="60" t="n">
        <v>128</v>
      </c>
      <c r="B128" s="61" t="s">
        <v>26</v>
      </c>
      <c r="C128" s="61" t="s">
        <v>225</v>
      </c>
      <c r="D128" s="62" t="s">
        <v>399</v>
      </c>
      <c r="E128" s="63" t="s">
        <v>123</v>
      </c>
      <c r="F128" s="89" t="n">
        <f aca="false">'Schedule Logic'!G119</f>
        <v>46427</v>
      </c>
      <c r="G128" s="89" t="n">
        <f aca="false">'Schedule Logic'!H119</f>
        <v>46429</v>
      </c>
      <c r="H128" s="90" t="n">
        <f aca="false">'Schedule Logic'!I119</f>
        <v>24</v>
      </c>
      <c r="I128" s="91" t="n">
        <v>0</v>
      </c>
      <c r="J128" s="83" t="s">
        <v>347</v>
      </c>
      <c r="K128" s="68" t="s">
        <v>215</v>
      </c>
      <c r="L128" s="69"/>
      <c r="M128" s="69"/>
      <c r="N128" s="61"/>
      <c r="O128" s="62"/>
    </row>
    <row r="129" customFormat="false" ht="14.25" hidden="false" customHeight="false" outlineLevel="0" collapsed="false">
      <c r="A129" s="80" t="n">
        <v>126</v>
      </c>
      <c r="B129" s="71" t="s">
        <v>26</v>
      </c>
      <c r="C129" s="71" t="s">
        <v>225</v>
      </c>
      <c r="D129" s="72" t="s">
        <v>400</v>
      </c>
      <c r="E129" s="77" t="s">
        <v>123</v>
      </c>
      <c r="F129" s="85" t="n">
        <f aca="false">'Schedule Logic'!G120</f>
        <v>46433</v>
      </c>
      <c r="G129" s="85" t="n">
        <f aca="false">'Schedule Logic'!H120</f>
        <v>46437</v>
      </c>
      <c r="H129" s="86" t="n">
        <f aca="false">'Schedule Logic'!I120</f>
        <v>80</v>
      </c>
      <c r="I129" s="87" t="n">
        <v>0</v>
      </c>
      <c r="J129" s="88" t="s">
        <v>345</v>
      </c>
      <c r="K129" s="74" t="s">
        <v>215</v>
      </c>
      <c r="L129" s="75"/>
      <c r="M129" s="75"/>
      <c r="N129" s="71"/>
      <c r="O129" s="72" t="s">
        <v>401</v>
      </c>
    </row>
    <row r="130" customFormat="false" ht="14.25" hidden="false" customHeight="false" outlineLevel="0" collapsed="false">
      <c r="A130" s="60" t="n">
        <v>123</v>
      </c>
      <c r="B130" s="61" t="s">
        <v>26</v>
      </c>
      <c r="C130" s="61" t="s">
        <v>396</v>
      </c>
      <c r="D130" s="62" t="s">
        <v>402</v>
      </c>
      <c r="E130" s="63" t="s">
        <v>123</v>
      </c>
      <c r="F130" s="89" t="n">
        <f aca="false">'Schedule Logic'!G121</f>
        <v>46435</v>
      </c>
      <c r="G130" s="89" t="n">
        <f aca="false">'Schedule Logic'!H121</f>
        <v>46437</v>
      </c>
      <c r="H130" s="90" t="n">
        <f aca="false">'Schedule Logic'!I121</f>
        <v>12</v>
      </c>
      <c r="I130" s="91" t="n">
        <v>0</v>
      </c>
      <c r="J130" s="83" t="s">
        <v>347</v>
      </c>
      <c r="K130" s="68" t="s">
        <v>215</v>
      </c>
      <c r="L130" s="69"/>
      <c r="M130" s="69"/>
      <c r="N130" s="61"/>
      <c r="O130" s="62"/>
    </row>
    <row r="131" customFormat="false" ht="14.25" hidden="false" customHeight="false" outlineLevel="0" collapsed="false">
      <c r="A131" s="80" t="n">
        <v>124</v>
      </c>
      <c r="B131" s="71" t="s">
        <v>26</v>
      </c>
      <c r="C131" s="71" t="s">
        <v>396</v>
      </c>
      <c r="D131" s="72" t="s">
        <v>403</v>
      </c>
      <c r="E131" s="77" t="s">
        <v>123</v>
      </c>
      <c r="F131" s="85" t="n">
        <f aca="false">'Schedule Logic'!G122</f>
        <v>46435</v>
      </c>
      <c r="G131" s="85" t="n">
        <f aca="false">'Schedule Logic'!H122</f>
        <v>46437</v>
      </c>
      <c r="H131" s="86" t="n">
        <f aca="false">'Schedule Logic'!I122</f>
        <v>10</v>
      </c>
      <c r="I131" s="87" t="n">
        <v>0</v>
      </c>
      <c r="J131" s="88" t="s">
        <v>347</v>
      </c>
      <c r="K131" s="74" t="s">
        <v>215</v>
      </c>
      <c r="L131" s="75"/>
      <c r="M131" s="75"/>
      <c r="N131" s="71"/>
      <c r="O131" s="72"/>
    </row>
    <row r="132" customFormat="false" ht="14.25" hidden="false" customHeight="false" outlineLevel="0" collapsed="false">
      <c r="A132" s="60" t="n">
        <v>125</v>
      </c>
      <c r="B132" s="61" t="s">
        <v>26</v>
      </c>
      <c r="C132" s="61" t="s">
        <v>396</v>
      </c>
      <c r="D132" s="62" t="s">
        <v>404</v>
      </c>
      <c r="E132" s="63" t="s">
        <v>123</v>
      </c>
      <c r="F132" s="89" t="n">
        <f aca="false">'Schedule Logic'!G123</f>
        <v>46435</v>
      </c>
      <c r="G132" s="89" t="n">
        <f aca="false">'Schedule Logic'!H123</f>
        <v>46436</v>
      </c>
      <c r="H132" s="90" t="n">
        <f aca="false">'Schedule Logic'!I123</f>
        <v>8</v>
      </c>
      <c r="I132" s="91" t="n">
        <v>0</v>
      </c>
      <c r="J132" s="83" t="s">
        <v>347</v>
      </c>
      <c r="K132" s="68" t="s">
        <v>215</v>
      </c>
      <c r="L132" s="69"/>
      <c r="M132" s="69"/>
      <c r="N132" s="61"/>
      <c r="O132" s="62"/>
    </row>
    <row r="133" customFormat="false" ht="14.25" hidden="false" customHeight="false" outlineLevel="0" collapsed="false">
      <c r="A133" s="80" t="n">
        <v>121</v>
      </c>
      <c r="B133" s="71" t="s">
        <v>26</v>
      </c>
      <c r="C133" s="71" t="s">
        <v>389</v>
      </c>
      <c r="D133" s="72" t="s">
        <v>405</v>
      </c>
      <c r="E133" s="77" t="s">
        <v>123</v>
      </c>
      <c r="F133" s="85" t="n">
        <f aca="false">'Schedule Logic'!G124</f>
        <v>46440</v>
      </c>
      <c r="G133" s="85" t="n">
        <f aca="false">'Schedule Logic'!H124</f>
        <v>46442</v>
      </c>
      <c r="H133" s="86" t="n">
        <f aca="false">'Schedule Logic'!I124</f>
        <v>24</v>
      </c>
      <c r="I133" s="87" t="n">
        <v>0</v>
      </c>
      <c r="J133" s="88" t="s">
        <v>394</v>
      </c>
      <c r="K133" s="74" t="s">
        <v>184</v>
      </c>
      <c r="L133" s="75"/>
      <c r="M133" s="75"/>
      <c r="N133" s="71"/>
      <c r="O133" s="72"/>
    </row>
    <row r="134" customFormat="false" ht="14.25" hidden="false" customHeight="false" outlineLevel="0" collapsed="false">
      <c r="A134" s="60" t="n">
        <v>122</v>
      </c>
      <c r="B134" s="61" t="s">
        <v>26</v>
      </c>
      <c r="C134" s="61" t="s">
        <v>389</v>
      </c>
      <c r="D134" s="62" t="s">
        <v>406</v>
      </c>
      <c r="E134" s="63" t="s">
        <v>123</v>
      </c>
      <c r="F134" s="89" t="n">
        <f aca="false">'Schedule Logic'!G125</f>
        <v>46443</v>
      </c>
      <c r="G134" s="89" t="n">
        <f aca="false">'Schedule Logic'!H125</f>
        <v>46443</v>
      </c>
      <c r="H134" s="90" t="n">
        <f aca="false">'Schedule Logic'!I125</f>
        <v>4</v>
      </c>
      <c r="I134" s="91" t="n">
        <v>0</v>
      </c>
      <c r="J134" s="83" t="s">
        <v>394</v>
      </c>
      <c r="K134" s="68" t="s">
        <v>369</v>
      </c>
      <c r="L134" s="69"/>
      <c r="M134" s="69"/>
      <c r="N134" s="61"/>
      <c r="O134" s="62" t="s">
        <v>407</v>
      </c>
    </row>
    <row r="135" customFormat="false" ht="26.25" hidden="false" customHeight="true" outlineLevel="0" collapsed="false">
      <c r="A135" s="80" t="n">
        <v>130</v>
      </c>
      <c r="B135" s="71" t="s">
        <v>26</v>
      </c>
      <c r="C135" s="71" t="s">
        <v>408</v>
      </c>
      <c r="D135" s="72" t="s">
        <v>409</v>
      </c>
      <c r="E135" s="77" t="s">
        <v>123</v>
      </c>
      <c r="F135" s="85" t="n">
        <f aca="false">'Schedule Logic'!G126</f>
        <v>46443</v>
      </c>
      <c r="G135" s="85" t="n">
        <f aca="false">'Schedule Logic'!H126</f>
        <v>46447</v>
      </c>
      <c r="H135" s="86" t="n">
        <f aca="false">'Schedule Logic'!I126</f>
        <v>20</v>
      </c>
      <c r="I135" s="87" t="n">
        <v>0</v>
      </c>
      <c r="J135" s="88" t="s">
        <v>410</v>
      </c>
      <c r="K135" s="74" t="s">
        <v>164</v>
      </c>
      <c r="L135" s="75"/>
      <c r="M135" s="75"/>
      <c r="N135" s="71"/>
      <c r="O135" s="72" t="s">
        <v>411</v>
      </c>
    </row>
    <row r="136" customFormat="false" ht="26.25" hidden="false" customHeight="true" outlineLevel="0" collapsed="false">
      <c r="A136" s="60" t="n">
        <v>131</v>
      </c>
      <c r="B136" s="61" t="s">
        <v>26</v>
      </c>
      <c r="C136" s="61" t="s">
        <v>408</v>
      </c>
      <c r="D136" s="62" t="s">
        <v>412</v>
      </c>
      <c r="E136" s="63" t="s">
        <v>123</v>
      </c>
      <c r="F136" s="89" t="n">
        <f aca="false">'Schedule Logic'!G127</f>
        <v>46444</v>
      </c>
      <c r="G136" s="89" t="n">
        <f aca="false">'Schedule Logic'!H127</f>
        <v>46447</v>
      </c>
      <c r="H136" s="90" t="n">
        <f aca="false">'Schedule Logic'!I127</f>
        <v>12</v>
      </c>
      <c r="I136" s="91" t="n">
        <v>0</v>
      </c>
      <c r="J136" s="83" t="s">
        <v>410</v>
      </c>
      <c r="K136" s="68" t="s">
        <v>164</v>
      </c>
      <c r="L136" s="69"/>
      <c r="M136" s="69"/>
      <c r="N136" s="61"/>
      <c r="O136" s="62" t="s">
        <v>411</v>
      </c>
    </row>
    <row r="137" customFormat="false" ht="26.25" hidden="false" customHeight="true" outlineLevel="0" collapsed="false">
      <c r="A137" s="80" t="n">
        <v>129</v>
      </c>
      <c r="B137" s="71" t="s">
        <v>26</v>
      </c>
      <c r="C137" s="71" t="s">
        <v>225</v>
      </c>
      <c r="D137" s="72" t="s">
        <v>413</v>
      </c>
      <c r="E137" s="77" t="s">
        <v>123</v>
      </c>
      <c r="F137" s="85" t="n">
        <f aca="false">'Schedule Logic'!G128</f>
        <v>46440</v>
      </c>
      <c r="G137" s="85" t="n">
        <f aca="false">'Schedule Logic'!H128</f>
        <v>46441</v>
      </c>
      <c r="H137" s="86" t="n">
        <f aca="false">'Schedule Logic'!I128</f>
        <v>8</v>
      </c>
      <c r="I137" s="87" t="n">
        <v>0</v>
      </c>
      <c r="J137" s="104" t="s">
        <v>414</v>
      </c>
      <c r="K137" s="74" t="s">
        <v>164</v>
      </c>
      <c r="L137" s="75"/>
      <c r="M137" s="75"/>
      <c r="N137" s="71"/>
      <c r="O137" s="72" t="s">
        <v>415</v>
      </c>
    </row>
    <row r="138" customFormat="false" ht="14.25" hidden="false" customHeight="false" outlineLevel="0" collapsed="false">
      <c r="A138" s="60" t="n">
        <v>134</v>
      </c>
      <c r="B138" s="61" t="s">
        <v>26</v>
      </c>
      <c r="C138" s="61" t="s">
        <v>416</v>
      </c>
      <c r="D138" s="62" t="s">
        <v>417</v>
      </c>
      <c r="E138" s="63" t="s">
        <v>123</v>
      </c>
      <c r="F138" s="89" t="n">
        <f aca="false">'Schedule Logic'!G129</f>
        <v>46440</v>
      </c>
      <c r="G138" s="89" t="n">
        <f aca="false">'Schedule Logic'!H129</f>
        <v>46442</v>
      </c>
      <c r="H138" s="90" t="n">
        <f aca="false">'Schedule Logic'!I129</f>
        <v>16</v>
      </c>
      <c r="I138" s="91" t="n">
        <v>0</v>
      </c>
      <c r="J138" s="83" t="s">
        <v>418</v>
      </c>
      <c r="K138" s="68" t="s">
        <v>382</v>
      </c>
      <c r="L138" s="69"/>
      <c r="M138" s="69"/>
      <c r="N138" s="61"/>
      <c r="O138" s="62" t="s">
        <v>419</v>
      </c>
    </row>
    <row r="139" customFormat="false" ht="14.25" hidden="false" customHeight="false" outlineLevel="0" collapsed="false">
      <c r="A139" s="80" t="n">
        <v>133</v>
      </c>
      <c r="B139" s="71" t="s">
        <v>26</v>
      </c>
      <c r="C139" s="71" t="s">
        <v>416</v>
      </c>
      <c r="D139" s="72" t="s">
        <v>420</v>
      </c>
      <c r="E139" s="77" t="s">
        <v>123</v>
      </c>
      <c r="F139" s="85" t="n">
        <f aca="false">'Schedule Logic'!G130</f>
        <v>46443</v>
      </c>
      <c r="G139" s="85" t="n">
        <f aca="false">'Schedule Logic'!H130</f>
        <v>46443</v>
      </c>
      <c r="H139" s="86" t="n">
        <f aca="false">'Schedule Logic'!I130</f>
        <v>4</v>
      </c>
      <c r="I139" s="87" t="n">
        <v>0</v>
      </c>
      <c r="J139" s="88" t="s">
        <v>421</v>
      </c>
      <c r="K139" s="74" t="s">
        <v>369</v>
      </c>
      <c r="L139" s="75"/>
      <c r="M139" s="75"/>
      <c r="N139" s="71"/>
      <c r="O139" s="72" t="s">
        <v>422</v>
      </c>
    </row>
    <row r="140" customFormat="false" ht="26.25" hidden="false" customHeight="true" outlineLevel="0" collapsed="false">
      <c r="A140" s="60" t="n">
        <v>135</v>
      </c>
      <c r="B140" s="61" t="s">
        <v>26</v>
      </c>
      <c r="C140" s="61" t="s">
        <v>416</v>
      </c>
      <c r="D140" s="62" t="s">
        <v>423</v>
      </c>
      <c r="E140" s="63" t="s">
        <v>123</v>
      </c>
      <c r="F140" s="89" t="n">
        <f aca="false">'Schedule Logic'!G131</f>
        <v>46444</v>
      </c>
      <c r="G140" s="89" t="n">
        <f aca="false">'Schedule Logic'!H131</f>
        <v>46444</v>
      </c>
      <c r="H140" s="90" t="n">
        <f aca="false">'Schedule Logic'!I131</f>
        <v>4</v>
      </c>
      <c r="I140" s="91" t="n">
        <v>0</v>
      </c>
      <c r="J140" s="107" t="s">
        <v>424</v>
      </c>
      <c r="K140" s="68" t="s">
        <v>425</v>
      </c>
      <c r="L140" s="69"/>
      <c r="M140" s="69"/>
      <c r="N140" s="61"/>
      <c r="O140" s="62" t="s">
        <v>426</v>
      </c>
    </row>
    <row r="141" customFormat="false" ht="26.25" hidden="false" customHeight="true" outlineLevel="0" collapsed="false">
      <c r="A141" s="80" t="n">
        <v>127</v>
      </c>
      <c r="B141" s="71" t="s">
        <v>26</v>
      </c>
      <c r="C141" s="71" t="s">
        <v>225</v>
      </c>
      <c r="D141" s="72" t="s">
        <v>427</v>
      </c>
      <c r="E141" s="77" t="s">
        <v>123</v>
      </c>
      <c r="F141" s="85" t="n">
        <f aca="false">'Schedule Logic'!G132</f>
        <v>46458</v>
      </c>
      <c r="G141" s="85" t="n">
        <f aca="false">'Schedule Logic'!H132</f>
        <v>46458</v>
      </c>
      <c r="H141" s="86" t="n">
        <f aca="false">'Schedule Logic'!I132</f>
        <v>8</v>
      </c>
      <c r="I141" s="87" t="n">
        <v>0</v>
      </c>
      <c r="J141" s="88" t="s">
        <v>428</v>
      </c>
      <c r="K141" s="71" t="s">
        <v>164</v>
      </c>
      <c r="L141" s="75"/>
      <c r="M141" s="75"/>
      <c r="N141" s="71"/>
      <c r="O141" s="72" t="s">
        <v>429</v>
      </c>
    </row>
    <row r="142" customFormat="false" ht="14.25" hidden="false" customHeight="false" outlineLevel="0" collapsed="false">
      <c r="A142" s="60"/>
      <c r="B142" s="105"/>
      <c r="C142" s="105"/>
      <c r="D142" s="105"/>
      <c r="E142" s="105"/>
      <c r="F142" s="105"/>
      <c r="G142" s="105"/>
      <c r="H142" s="105"/>
      <c r="I142" s="105"/>
      <c r="J142" s="105"/>
      <c r="K142" s="105"/>
      <c r="L142" s="105"/>
      <c r="M142" s="105"/>
      <c r="N142" s="105"/>
      <c r="O142" s="106"/>
    </row>
    <row r="143" customFormat="false" ht="14.25" hidden="false" customHeight="false" outlineLevel="0" collapsed="false">
      <c r="A143" s="59" t="s">
        <v>430</v>
      </c>
      <c r="B143" s="105"/>
      <c r="C143" s="105"/>
      <c r="D143" s="105"/>
      <c r="E143" s="105"/>
      <c r="F143" s="105"/>
      <c r="G143" s="105"/>
      <c r="H143" s="105"/>
      <c r="I143" s="105"/>
      <c r="J143" s="105"/>
      <c r="K143" s="105"/>
      <c r="L143" s="105"/>
      <c r="M143" s="105"/>
      <c r="N143" s="105"/>
      <c r="O143" s="106"/>
    </row>
    <row r="144" customFormat="false" ht="14.25" hidden="false" customHeight="false" outlineLevel="0" collapsed="false">
      <c r="A144" s="80" t="n">
        <v>136</v>
      </c>
      <c r="B144" s="71" t="s">
        <v>27</v>
      </c>
      <c r="C144" s="71" t="s">
        <v>121</v>
      </c>
      <c r="D144" s="72" t="s">
        <v>431</v>
      </c>
      <c r="E144" s="77" t="s">
        <v>123</v>
      </c>
      <c r="F144" s="85" t="n">
        <f aca="false">'Schedule Logic'!G134</f>
        <v>46461</v>
      </c>
      <c r="G144" s="85" t="n">
        <f aca="false">'Schedule Logic'!H134</f>
        <v>46465</v>
      </c>
      <c r="H144" s="86" t="n">
        <f aca="false">'Schedule Logic'!I134</f>
        <v>12</v>
      </c>
      <c r="I144" s="87" t="n">
        <v>0</v>
      </c>
      <c r="J144" s="104" t="s">
        <v>432</v>
      </c>
      <c r="K144" s="74" t="s">
        <v>146</v>
      </c>
      <c r="L144" s="75"/>
      <c r="M144" s="75"/>
      <c r="N144" s="71"/>
      <c r="O144" s="72" t="s">
        <v>433</v>
      </c>
    </row>
    <row r="145" customFormat="false" ht="14.25" hidden="false" customHeight="false" outlineLevel="0" collapsed="false">
      <c r="A145" s="60" t="n">
        <v>137</v>
      </c>
      <c r="B145" s="61" t="s">
        <v>27</v>
      </c>
      <c r="C145" s="61" t="s">
        <v>121</v>
      </c>
      <c r="D145" s="62" t="s">
        <v>434</v>
      </c>
      <c r="E145" s="63" t="s">
        <v>123</v>
      </c>
      <c r="F145" s="89" t="n">
        <f aca="false">'Schedule Logic'!G135</f>
        <v>46468</v>
      </c>
      <c r="G145" s="89" t="n">
        <f aca="false">'Schedule Logic'!H135</f>
        <v>46472</v>
      </c>
      <c r="H145" s="90" t="n">
        <f aca="false">'Schedule Logic'!I135</f>
        <v>6</v>
      </c>
      <c r="I145" s="91" t="n">
        <v>0</v>
      </c>
      <c r="J145" s="107" t="s">
        <v>435</v>
      </c>
      <c r="K145" s="68" t="s">
        <v>146</v>
      </c>
      <c r="L145" s="69"/>
      <c r="M145" s="69"/>
      <c r="N145" s="61"/>
      <c r="O145" s="62" t="s">
        <v>436</v>
      </c>
    </row>
    <row r="146" customFormat="false" ht="14.25" hidden="false" customHeight="false" outlineLevel="0" collapsed="false">
      <c r="A146" s="80" t="n">
        <v>138</v>
      </c>
      <c r="B146" s="71" t="s">
        <v>27</v>
      </c>
      <c r="C146" s="71" t="s">
        <v>121</v>
      </c>
      <c r="D146" s="72" t="s">
        <v>437</v>
      </c>
      <c r="E146" s="77" t="s">
        <v>123</v>
      </c>
      <c r="F146" s="85" t="n">
        <f aca="false">'Schedule Logic'!G136</f>
        <v>46461</v>
      </c>
      <c r="G146" s="85" t="n">
        <f aca="false">'Schedule Logic'!H136</f>
        <v>46464</v>
      </c>
      <c r="H146" s="86" t="n">
        <f aca="false">'Schedule Logic'!I136</f>
        <v>24</v>
      </c>
      <c r="I146" s="87" t="n">
        <v>0</v>
      </c>
      <c r="J146" s="104" t="s">
        <v>438</v>
      </c>
      <c r="K146" s="74" t="s">
        <v>146</v>
      </c>
      <c r="L146" s="75"/>
      <c r="M146" s="75"/>
      <c r="N146" s="71"/>
      <c r="O146" s="72"/>
    </row>
    <row r="147" customFormat="false" ht="14.25" hidden="false" customHeight="false" outlineLevel="0" collapsed="false">
      <c r="A147" s="60" t="n">
        <v>139</v>
      </c>
      <c r="B147" s="61" t="s">
        <v>27</v>
      </c>
      <c r="C147" s="61" t="s">
        <v>121</v>
      </c>
      <c r="D147" s="62" t="s">
        <v>439</v>
      </c>
      <c r="E147" s="63" t="s">
        <v>123</v>
      </c>
      <c r="F147" s="89" t="n">
        <f aca="false">'Schedule Logic'!G137</f>
        <v>46465</v>
      </c>
      <c r="G147" s="89" t="n">
        <f aca="false">'Schedule Logic'!H137</f>
        <v>46465</v>
      </c>
      <c r="H147" s="90" t="n">
        <f aca="false">'Schedule Logic'!I137</f>
        <v>6</v>
      </c>
      <c r="I147" s="91" t="n">
        <v>0</v>
      </c>
      <c r="J147" s="107" t="s">
        <v>440</v>
      </c>
      <c r="K147" s="68" t="s">
        <v>194</v>
      </c>
      <c r="L147" s="69"/>
      <c r="M147" s="69"/>
      <c r="N147" s="61"/>
      <c r="O147" s="62" t="s">
        <v>441</v>
      </c>
    </row>
    <row r="148" customFormat="false" ht="14.25" hidden="false" customHeight="false" outlineLevel="0" collapsed="false">
      <c r="A148" s="80" t="n">
        <v>140</v>
      </c>
      <c r="B148" s="71" t="s">
        <v>27</v>
      </c>
      <c r="C148" s="71" t="s">
        <v>121</v>
      </c>
      <c r="D148" s="72" t="s">
        <v>442</v>
      </c>
      <c r="E148" s="77" t="s">
        <v>123</v>
      </c>
      <c r="F148" s="85" t="n">
        <f aca="false">'Schedule Logic'!G138</f>
        <v>46468</v>
      </c>
      <c r="G148" s="85" t="n">
        <f aca="false">'Schedule Logic'!H138</f>
        <v>46469</v>
      </c>
      <c r="H148" s="86" t="n">
        <f aca="false">'Schedule Logic'!I138</f>
        <v>16</v>
      </c>
      <c r="I148" s="87" t="n">
        <v>0</v>
      </c>
      <c r="J148" s="104" t="s">
        <v>443</v>
      </c>
      <c r="K148" s="74" t="s">
        <v>194</v>
      </c>
      <c r="L148" s="75"/>
      <c r="M148" s="75"/>
      <c r="N148" s="71"/>
      <c r="O148" s="72"/>
    </row>
    <row r="149" customFormat="false" ht="14.25" hidden="false" customHeight="false" outlineLevel="0" collapsed="false">
      <c r="A149" s="60" t="n">
        <v>141</v>
      </c>
      <c r="B149" s="61" t="s">
        <v>27</v>
      </c>
      <c r="C149" s="61" t="s">
        <v>121</v>
      </c>
      <c r="D149" s="62" t="s">
        <v>444</v>
      </c>
      <c r="E149" s="63" t="s">
        <v>123</v>
      </c>
      <c r="F149" s="89" t="n">
        <f aca="false">'Schedule Logic'!G139</f>
        <v>46475</v>
      </c>
      <c r="G149" s="89" t="n">
        <f aca="false">'Schedule Logic'!H139</f>
        <v>46477</v>
      </c>
      <c r="H149" s="90" t="n">
        <f aca="false">'Schedule Logic'!I139</f>
        <v>12</v>
      </c>
      <c r="I149" s="91" t="n">
        <v>0</v>
      </c>
      <c r="J149" s="107" t="s">
        <v>445</v>
      </c>
      <c r="K149" s="68" t="s">
        <v>146</v>
      </c>
      <c r="L149" s="69"/>
      <c r="M149" s="69"/>
      <c r="N149" s="61"/>
      <c r="O149" s="62"/>
    </row>
    <row r="150" customFormat="false" ht="15" hidden="false" customHeight="true" outlineLevel="0" collapsed="false">
      <c r="A150" s="108"/>
      <c r="B150" s="108"/>
      <c r="C150" s="108"/>
      <c r="D150" s="109" t="s">
        <v>446</v>
      </c>
      <c r="E150" s="108"/>
      <c r="L150" s="110" t="n">
        <f aca="false">SUM(L6:L149)</f>
        <v>55875</v>
      </c>
      <c r="M150" s="110" t="n">
        <f aca="false">SUM(M6:M149)</f>
        <v>35475</v>
      </c>
      <c r="N150" s="108"/>
      <c r="O150" s="108"/>
    </row>
    <row r="151" customFormat="false" ht="14.25" hidden="false" customHeight="false" outlineLevel="0" collapsed="false">
      <c r="A151" s="59" t="s">
        <v>447</v>
      </c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</row>
    <row r="152" customFormat="false" ht="14.25" hidden="false" customHeight="false" outlineLevel="0" collapsed="false">
      <c r="A152" s="60" t="n">
        <v>15</v>
      </c>
      <c r="B152" s="61" t="s">
        <v>28</v>
      </c>
      <c r="C152" s="61" t="s">
        <v>448</v>
      </c>
      <c r="D152" s="62" t="s">
        <v>449</v>
      </c>
      <c r="E152" s="70" t="s">
        <v>132</v>
      </c>
      <c r="F152" s="70"/>
      <c r="G152" s="70"/>
      <c r="H152" s="70"/>
      <c r="I152" s="96" t="n">
        <v>1</v>
      </c>
      <c r="J152" s="67" t="s">
        <v>124</v>
      </c>
      <c r="K152" s="68"/>
      <c r="L152" s="69" t="n">
        <v>30297</v>
      </c>
      <c r="M152" s="69" t="n">
        <v>0</v>
      </c>
      <c r="N152" s="61"/>
      <c r="O152" s="62" t="s">
        <v>450</v>
      </c>
    </row>
    <row r="153" customFormat="false" ht="14.25" hidden="false" customHeight="false" outlineLevel="0" collapsed="false">
      <c r="A153" s="80" t="n">
        <v>16</v>
      </c>
      <c r="B153" s="71" t="s">
        <v>28</v>
      </c>
      <c r="C153" s="71" t="s">
        <v>448</v>
      </c>
      <c r="D153" s="72" t="s">
        <v>451</v>
      </c>
      <c r="E153" s="81" t="s">
        <v>132</v>
      </c>
      <c r="F153" s="81"/>
      <c r="G153" s="81"/>
      <c r="H153" s="81"/>
      <c r="I153" s="82" t="n">
        <v>1</v>
      </c>
      <c r="J153" s="73" t="s">
        <v>124</v>
      </c>
      <c r="K153" s="74"/>
      <c r="L153" s="75"/>
      <c r="M153" s="75"/>
      <c r="N153" s="71"/>
      <c r="O153" s="72"/>
    </row>
    <row r="154" customFormat="false" ht="14.25" hidden="false" customHeight="false" outlineLevel="0" collapsed="false">
      <c r="A154" s="60" t="n">
        <v>17</v>
      </c>
      <c r="B154" s="61" t="s">
        <v>28</v>
      </c>
      <c r="C154" s="61" t="s">
        <v>448</v>
      </c>
      <c r="D154" s="62" t="s">
        <v>452</v>
      </c>
      <c r="E154" s="70" t="s">
        <v>132</v>
      </c>
      <c r="F154" s="70"/>
      <c r="G154" s="70"/>
      <c r="H154" s="70"/>
      <c r="I154" s="96" t="n">
        <v>1</v>
      </c>
      <c r="J154" s="67" t="s">
        <v>124</v>
      </c>
      <c r="K154" s="68"/>
      <c r="L154" s="69"/>
      <c r="M154" s="69"/>
      <c r="N154" s="61"/>
      <c r="O154" s="62" t="s">
        <v>453</v>
      </c>
    </row>
    <row r="155" customFormat="false" ht="14.25" hidden="false" customHeight="false" outlineLevel="0" collapsed="false">
      <c r="A155" s="80" t="n">
        <v>18</v>
      </c>
      <c r="B155" s="71" t="s">
        <v>28</v>
      </c>
      <c r="C155" s="71" t="s">
        <v>448</v>
      </c>
      <c r="D155" s="72" t="s">
        <v>454</v>
      </c>
      <c r="E155" s="77" t="s">
        <v>123</v>
      </c>
      <c r="F155" s="85" t="n">
        <f aca="false">'Schedule Logic'!G141</f>
        <v>46335</v>
      </c>
      <c r="G155" s="85" t="n">
        <f aca="false">'Schedule Logic'!H141</f>
        <v>46338</v>
      </c>
      <c r="H155" s="86" t="n">
        <f aca="false">'Schedule Logic'!I141</f>
        <v>24</v>
      </c>
      <c r="I155" s="87" t="n">
        <v>0</v>
      </c>
      <c r="J155" s="88" t="s">
        <v>455</v>
      </c>
      <c r="K155" s="74" t="s">
        <v>215</v>
      </c>
      <c r="L155" s="75"/>
      <c r="M155" s="75"/>
      <c r="N155" s="71"/>
      <c r="O155" s="72" t="s">
        <v>456</v>
      </c>
    </row>
    <row r="156" customFormat="false" ht="14.25" hidden="false" customHeight="false" outlineLevel="0" collapsed="false">
      <c r="A156" s="60" t="n">
        <v>19</v>
      </c>
      <c r="B156" s="61" t="s">
        <v>28</v>
      </c>
      <c r="C156" s="61" t="s">
        <v>448</v>
      </c>
      <c r="D156" s="62" t="s">
        <v>457</v>
      </c>
      <c r="E156" s="63" t="s">
        <v>123</v>
      </c>
      <c r="F156" s="89" t="n">
        <f aca="false">'Schedule Logic'!G142</f>
        <v>46335</v>
      </c>
      <c r="G156" s="89" t="n">
        <f aca="false">'Schedule Logic'!H142</f>
        <v>46336</v>
      </c>
      <c r="H156" s="90" t="n">
        <f aca="false">'Schedule Logic'!I142</f>
        <v>12</v>
      </c>
      <c r="I156" s="91" t="n">
        <v>0</v>
      </c>
      <c r="J156" s="83" t="s">
        <v>455</v>
      </c>
      <c r="K156" s="68" t="s">
        <v>215</v>
      </c>
      <c r="L156" s="69"/>
      <c r="M156" s="69"/>
      <c r="N156" s="61"/>
      <c r="O156" s="62" t="s">
        <v>458</v>
      </c>
    </row>
    <row r="157" customFormat="false" ht="14.25" hidden="false" customHeight="false" outlineLevel="0" collapsed="false">
      <c r="A157" s="80" t="n">
        <v>20</v>
      </c>
      <c r="B157" s="71" t="s">
        <v>28</v>
      </c>
      <c r="C157" s="71" t="s">
        <v>459</v>
      </c>
      <c r="D157" s="72" t="s">
        <v>460</v>
      </c>
      <c r="E157" s="81" t="s">
        <v>132</v>
      </c>
      <c r="F157" s="81"/>
      <c r="G157" s="81"/>
      <c r="H157" s="81"/>
      <c r="I157" s="82" t="n">
        <v>1</v>
      </c>
      <c r="J157" s="73" t="s">
        <v>124</v>
      </c>
      <c r="K157" s="74"/>
      <c r="L157" s="75"/>
      <c r="M157" s="75"/>
      <c r="N157" s="71"/>
      <c r="O157" s="72"/>
    </row>
    <row r="158" customFormat="false" ht="14.25" hidden="false" customHeight="false" outlineLevel="0" collapsed="false">
      <c r="A158" s="60" t="n">
        <v>21</v>
      </c>
      <c r="B158" s="61" t="s">
        <v>28</v>
      </c>
      <c r="C158" s="61" t="s">
        <v>459</v>
      </c>
      <c r="D158" s="62" t="s">
        <v>461</v>
      </c>
      <c r="E158" s="63" t="s">
        <v>123</v>
      </c>
      <c r="F158" s="89" t="n">
        <f aca="false">'Schedule Logic'!G143</f>
        <v>46335</v>
      </c>
      <c r="G158" s="89" t="n">
        <f aca="false">'Schedule Logic'!H143</f>
        <v>46342</v>
      </c>
      <c r="H158" s="90" t="n">
        <f aca="false">'Schedule Logic'!I143</f>
        <v>40</v>
      </c>
      <c r="I158" s="91" t="n">
        <v>0</v>
      </c>
      <c r="J158" s="83" t="s">
        <v>462</v>
      </c>
      <c r="K158" s="68" t="s">
        <v>391</v>
      </c>
      <c r="L158" s="69"/>
      <c r="M158" s="69"/>
      <c r="N158" s="61"/>
      <c r="O158" s="62" t="s">
        <v>463</v>
      </c>
    </row>
    <row r="159" customFormat="false" ht="14.25" hidden="false" customHeight="false" outlineLevel="0" collapsed="false">
      <c r="A159" s="80" t="n">
        <v>22</v>
      </c>
      <c r="B159" s="71" t="s">
        <v>28</v>
      </c>
      <c r="C159" s="71" t="s">
        <v>459</v>
      </c>
      <c r="D159" s="72" t="s">
        <v>464</v>
      </c>
      <c r="E159" s="77" t="s">
        <v>123</v>
      </c>
      <c r="F159" s="85" t="n">
        <f aca="false">'Schedule Logic'!G144</f>
        <v>46343</v>
      </c>
      <c r="G159" s="85" t="n">
        <f aca="false">'Schedule Logic'!H144</f>
        <v>46344</v>
      </c>
      <c r="H159" s="86" t="n">
        <f aca="false">'Schedule Logic'!I144</f>
        <v>16</v>
      </c>
      <c r="I159" s="87" t="n">
        <v>0</v>
      </c>
      <c r="J159" s="88" t="s">
        <v>462</v>
      </c>
      <c r="K159" s="74" t="s">
        <v>215</v>
      </c>
      <c r="L159" s="75"/>
      <c r="M159" s="75"/>
      <c r="N159" s="71"/>
      <c r="O159" s="72"/>
    </row>
    <row r="160" customFormat="false" ht="14.25" hidden="false" customHeight="false" outlineLevel="0" collapsed="false">
      <c r="A160" s="60" t="n">
        <v>23</v>
      </c>
      <c r="B160" s="61" t="s">
        <v>28</v>
      </c>
      <c r="C160" s="61" t="s">
        <v>459</v>
      </c>
      <c r="D160" s="62" t="s">
        <v>465</v>
      </c>
      <c r="E160" s="63" t="s">
        <v>123</v>
      </c>
      <c r="F160" s="89" t="n">
        <f aca="false">'Schedule Logic'!G145</f>
        <v>46465</v>
      </c>
      <c r="G160" s="89" t="n">
        <f aca="false">'Schedule Logic'!H145</f>
        <v>46465</v>
      </c>
      <c r="H160" s="90" t="n">
        <f aca="false">'Schedule Logic'!I145</f>
        <v>6</v>
      </c>
      <c r="I160" s="91" t="n">
        <v>0</v>
      </c>
      <c r="J160" s="107" t="s">
        <v>440</v>
      </c>
      <c r="K160" s="68" t="s">
        <v>194</v>
      </c>
      <c r="L160" s="69"/>
      <c r="M160" s="69"/>
      <c r="N160" s="61"/>
      <c r="O160" s="62" t="s">
        <v>466</v>
      </c>
    </row>
    <row r="161" customFormat="false" ht="14.25" hidden="false" customHeight="false" outlineLevel="0" collapsed="false">
      <c r="A161" s="80" t="n">
        <v>24</v>
      </c>
      <c r="B161" s="71" t="s">
        <v>28</v>
      </c>
      <c r="C161" s="71" t="s">
        <v>459</v>
      </c>
      <c r="D161" s="72" t="s">
        <v>467</v>
      </c>
      <c r="E161" s="81" t="s">
        <v>132</v>
      </c>
      <c r="F161" s="81"/>
      <c r="G161" s="81"/>
      <c r="H161" s="81"/>
      <c r="I161" s="82" t="n">
        <v>1</v>
      </c>
      <c r="J161" s="73" t="s">
        <v>124</v>
      </c>
      <c r="K161" s="74"/>
      <c r="L161" s="75"/>
      <c r="M161" s="75"/>
      <c r="N161" s="71"/>
      <c r="O161" s="72" t="s">
        <v>468</v>
      </c>
    </row>
    <row r="162" customFormat="false" ht="26.25" hidden="false" customHeight="true" outlineLevel="0" collapsed="false">
      <c r="A162" s="60" t="n">
        <v>25</v>
      </c>
      <c r="B162" s="61" t="s">
        <v>28</v>
      </c>
      <c r="C162" s="61" t="s">
        <v>469</v>
      </c>
      <c r="D162" s="62" t="s">
        <v>470</v>
      </c>
      <c r="E162" s="70" t="s">
        <v>132</v>
      </c>
      <c r="F162" s="70"/>
      <c r="G162" s="70"/>
      <c r="H162" s="70"/>
      <c r="I162" s="96" t="n">
        <v>1</v>
      </c>
      <c r="J162" s="67" t="s">
        <v>124</v>
      </c>
      <c r="K162" s="68"/>
      <c r="L162" s="69" t="n">
        <v>19825.36</v>
      </c>
      <c r="M162" s="69" t="n">
        <v>0</v>
      </c>
      <c r="N162" s="61"/>
      <c r="O162" s="62" t="s">
        <v>471</v>
      </c>
    </row>
    <row r="163" customFormat="false" ht="14.25" hidden="false" customHeight="false" outlineLevel="0" collapsed="false">
      <c r="A163" s="80" t="n">
        <v>26</v>
      </c>
      <c r="B163" s="71" t="s">
        <v>28</v>
      </c>
      <c r="C163" s="71" t="s">
        <v>469</v>
      </c>
      <c r="D163" s="72" t="s">
        <v>472</v>
      </c>
      <c r="E163" s="81" t="s">
        <v>132</v>
      </c>
      <c r="F163" s="81"/>
      <c r="G163" s="81"/>
      <c r="H163" s="81"/>
      <c r="I163" s="82" t="n">
        <v>1</v>
      </c>
      <c r="J163" s="73" t="s">
        <v>124</v>
      </c>
      <c r="K163" s="74"/>
      <c r="L163" s="75"/>
      <c r="M163" s="75"/>
      <c r="N163" s="71"/>
      <c r="O163" s="72" t="s">
        <v>473</v>
      </c>
    </row>
    <row r="164" customFormat="false" ht="26.25" hidden="false" customHeight="true" outlineLevel="0" collapsed="false">
      <c r="A164" s="60" t="n">
        <v>27</v>
      </c>
      <c r="B164" s="61" t="s">
        <v>28</v>
      </c>
      <c r="C164" s="61" t="s">
        <v>469</v>
      </c>
      <c r="D164" s="62" t="s">
        <v>474</v>
      </c>
      <c r="E164" s="63" t="s">
        <v>123</v>
      </c>
      <c r="F164" s="89" t="n">
        <f aca="false">'Schedule Logic'!G146</f>
        <v>46335</v>
      </c>
      <c r="G164" s="89" t="n">
        <f aca="false">'Schedule Logic'!H146</f>
        <v>46391</v>
      </c>
      <c r="H164" s="90" t="n">
        <f aca="false">'Schedule Logic'!I146</f>
        <v>8</v>
      </c>
      <c r="I164" s="91" t="n">
        <v>0</v>
      </c>
      <c r="J164" s="63" t="s">
        <v>475</v>
      </c>
      <c r="K164" s="68" t="s">
        <v>146</v>
      </c>
      <c r="L164" s="69"/>
      <c r="M164" s="69"/>
      <c r="N164" s="61"/>
      <c r="O164" s="62" t="s">
        <v>476</v>
      </c>
    </row>
    <row r="165" customFormat="false" ht="26.25" hidden="false" customHeight="true" outlineLevel="0" collapsed="false">
      <c r="A165" s="80" t="n">
        <v>28</v>
      </c>
      <c r="B165" s="71" t="s">
        <v>28</v>
      </c>
      <c r="C165" s="71" t="s">
        <v>469</v>
      </c>
      <c r="D165" s="72" t="s">
        <v>477</v>
      </c>
      <c r="E165" s="77" t="s">
        <v>123</v>
      </c>
      <c r="F165" s="85" t="n">
        <f aca="false">'Schedule Logic'!G147</f>
        <v>46335</v>
      </c>
      <c r="G165" s="85" t="n">
        <f aca="false">'Schedule Logic'!H147</f>
        <v>46349</v>
      </c>
      <c r="H165" s="86" t="n">
        <f aca="false">'Schedule Logic'!I147</f>
        <v>4</v>
      </c>
      <c r="I165" s="87" t="n">
        <v>0</v>
      </c>
      <c r="J165" s="77" t="s">
        <v>475</v>
      </c>
      <c r="K165" s="74" t="s">
        <v>146</v>
      </c>
      <c r="L165" s="75"/>
      <c r="M165" s="75"/>
      <c r="N165" s="71"/>
      <c r="O165" s="72" t="s">
        <v>478</v>
      </c>
    </row>
    <row r="166" customFormat="false" ht="14.25" hidden="false" customHeight="false" outlineLevel="0" collapsed="false">
      <c r="A166" s="60" t="n">
        <v>29</v>
      </c>
      <c r="B166" s="61" t="s">
        <v>28</v>
      </c>
      <c r="C166" s="61" t="s">
        <v>469</v>
      </c>
      <c r="D166" s="62" t="s">
        <v>479</v>
      </c>
      <c r="E166" s="63" t="s">
        <v>123</v>
      </c>
      <c r="F166" s="89" t="n">
        <f aca="false">'Schedule Logic'!G148</f>
        <v>46392</v>
      </c>
      <c r="G166" s="89" t="n">
        <f aca="false">'Schedule Logic'!H148</f>
        <v>46392</v>
      </c>
      <c r="H166" s="90" t="n">
        <f aca="false">'Schedule Logic'!I148</f>
        <v>2</v>
      </c>
      <c r="I166" s="91" t="n">
        <v>0</v>
      </c>
      <c r="J166" s="107" t="s">
        <v>480</v>
      </c>
      <c r="K166" s="68" t="s">
        <v>146</v>
      </c>
      <c r="L166" s="69"/>
      <c r="M166" s="69"/>
      <c r="N166" s="61"/>
      <c r="O166" s="62"/>
    </row>
    <row r="167" customFormat="false" ht="52.5" hidden="false" customHeight="true" outlineLevel="0" collapsed="false">
      <c r="A167" s="80" t="n">
        <v>30</v>
      </c>
      <c r="B167" s="71" t="s">
        <v>28</v>
      </c>
      <c r="C167" s="71" t="s">
        <v>469</v>
      </c>
      <c r="D167" s="72" t="s">
        <v>481</v>
      </c>
      <c r="E167" s="77" t="s">
        <v>123</v>
      </c>
      <c r="F167" s="85" t="n">
        <f aca="false">'Schedule Logic'!G149</f>
        <v>46357</v>
      </c>
      <c r="G167" s="85" t="n">
        <f aca="false">'Schedule Logic'!H149</f>
        <v>46377</v>
      </c>
      <c r="H167" s="86" t="n">
        <f aca="false">'Schedule Logic'!I149</f>
        <v>16</v>
      </c>
      <c r="I167" s="87" t="n">
        <v>0</v>
      </c>
      <c r="J167" s="88" t="s">
        <v>482</v>
      </c>
      <c r="K167" s="74" t="s">
        <v>483</v>
      </c>
      <c r="L167" s="75" t="n">
        <v>7500</v>
      </c>
      <c r="M167" s="75" t="n">
        <v>4500</v>
      </c>
      <c r="N167" s="71"/>
      <c r="O167" s="72" t="s">
        <v>484</v>
      </c>
    </row>
    <row r="168" customFormat="false" ht="26.25" hidden="false" customHeight="true" outlineLevel="0" collapsed="false">
      <c r="A168" s="60" t="n">
        <v>31</v>
      </c>
      <c r="B168" s="61" t="s">
        <v>28</v>
      </c>
      <c r="C168" s="61" t="s">
        <v>469</v>
      </c>
      <c r="D168" s="62" t="s">
        <v>485</v>
      </c>
      <c r="E168" s="63" t="s">
        <v>123</v>
      </c>
      <c r="F168" s="89" t="n">
        <f aca="false">'Schedule Logic'!G150</f>
        <v>46427</v>
      </c>
      <c r="G168" s="89" t="n">
        <f aca="false">'Schedule Logic'!H150</f>
        <v>46427</v>
      </c>
      <c r="H168" s="90" t="n">
        <f aca="false">'Schedule Logic'!I150</f>
        <v>4</v>
      </c>
      <c r="I168" s="91" t="n">
        <v>0</v>
      </c>
      <c r="J168" s="107" t="s">
        <v>480</v>
      </c>
      <c r="K168" s="68" t="s">
        <v>369</v>
      </c>
      <c r="L168" s="69"/>
      <c r="M168" s="69"/>
      <c r="N168" s="61"/>
      <c r="O168" s="62" t="s">
        <v>486</v>
      </c>
    </row>
    <row r="169" customFormat="false" ht="14.25" hidden="false" customHeight="false" outlineLevel="0" collapsed="false">
      <c r="A169" s="80" t="n">
        <v>32</v>
      </c>
      <c r="B169" s="71" t="s">
        <v>28</v>
      </c>
      <c r="C169" s="71" t="s">
        <v>469</v>
      </c>
      <c r="D169" s="72" t="s">
        <v>487</v>
      </c>
      <c r="E169" s="77" t="s">
        <v>123</v>
      </c>
      <c r="F169" s="85" t="n">
        <f aca="false">'Schedule Logic'!G151</f>
        <v>46378</v>
      </c>
      <c r="G169" s="85" t="n">
        <f aca="false">'Schedule Logic'!H151</f>
        <v>46378</v>
      </c>
      <c r="H169" s="86" t="n">
        <f aca="false">'Schedule Logic'!I151</f>
        <v>4</v>
      </c>
      <c r="I169" s="87" t="n">
        <v>0</v>
      </c>
      <c r="J169" s="88" t="s">
        <v>482</v>
      </c>
      <c r="K169" s="74" t="s">
        <v>184</v>
      </c>
      <c r="L169" s="75"/>
      <c r="M169" s="75"/>
      <c r="N169" s="71"/>
      <c r="O169" s="72" t="s">
        <v>488</v>
      </c>
    </row>
    <row r="170" customFormat="false" ht="78.75" hidden="false" customHeight="true" outlineLevel="0" collapsed="false">
      <c r="A170" s="60" t="n">
        <v>33</v>
      </c>
      <c r="B170" s="61" t="s">
        <v>28</v>
      </c>
      <c r="C170" s="61" t="s">
        <v>489</v>
      </c>
      <c r="D170" s="62" t="s">
        <v>490</v>
      </c>
      <c r="E170" s="83" t="s">
        <v>174</v>
      </c>
      <c r="F170" s="102" t="n">
        <f aca="false">'Schedule Logic'!G158</f>
        <v>46420</v>
      </c>
      <c r="G170" s="102" t="n">
        <f aca="false">'Schedule Logic'!H158</f>
        <v>46422</v>
      </c>
      <c r="H170" s="103" t="n">
        <f aca="false">'Schedule Logic'!I158</f>
        <v>24</v>
      </c>
      <c r="I170" s="84"/>
      <c r="J170" s="63" t="s">
        <v>491</v>
      </c>
      <c r="K170" s="68" t="s">
        <v>492</v>
      </c>
      <c r="L170" s="69" t="n">
        <v>10000</v>
      </c>
      <c r="M170" s="69" t="n">
        <v>10000</v>
      </c>
      <c r="N170" s="61"/>
      <c r="O170" s="62" t="s">
        <v>493</v>
      </c>
    </row>
    <row r="171" customFormat="false" ht="14.25" hidden="false" customHeight="false" outlineLevel="0" collapsed="false">
      <c r="A171" s="80" t="n">
        <v>34</v>
      </c>
      <c r="B171" s="71" t="s">
        <v>28</v>
      </c>
      <c r="C171" s="71" t="s">
        <v>489</v>
      </c>
      <c r="D171" s="72" t="s">
        <v>494</v>
      </c>
      <c r="E171" s="77" t="s">
        <v>123</v>
      </c>
      <c r="F171" s="85" t="n">
        <f aca="false">'Schedule Logic'!G159</f>
        <v>46437</v>
      </c>
      <c r="G171" s="85" t="n">
        <f aca="false">'Schedule Logic'!H159</f>
        <v>46437</v>
      </c>
      <c r="H171" s="86" t="n">
        <f aca="false">'Schedule Logic'!I159</f>
        <v>8</v>
      </c>
      <c r="I171" s="87" t="n">
        <v>0</v>
      </c>
      <c r="J171" s="88" t="s">
        <v>495</v>
      </c>
      <c r="K171" s="74" t="s">
        <v>391</v>
      </c>
      <c r="L171" s="75"/>
      <c r="M171" s="75"/>
      <c r="N171" s="71"/>
      <c r="O171" s="72" t="s">
        <v>496</v>
      </c>
    </row>
    <row r="172" customFormat="false" ht="26.25" hidden="false" customHeight="true" outlineLevel="0" collapsed="false">
      <c r="A172" s="60" t="n">
        <v>35</v>
      </c>
      <c r="B172" s="61" t="s">
        <v>28</v>
      </c>
      <c r="C172" s="61" t="s">
        <v>489</v>
      </c>
      <c r="D172" s="62" t="s">
        <v>497</v>
      </c>
      <c r="E172" s="63" t="s">
        <v>123</v>
      </c>
      <c r="F172" s="63"/>
      <c r="G172" s="63"/>
      <c r="H172" s="63"/>
      <c r="I172" s="91" t="n">
        <v>0</v>
      </c>
      <c r="J172" s="83" t="s">
        <v>495</v>
      </c>
      <c r="K172" s="68"/>
      <c r="L172" s="69" t="n">
        <v>3000</v>
      </c>
      <c r="M172" s="69" t="n">
        <v>3000</v>
      </c>
      <c r="N172" s="61"/>
      <c r="O172" s="62" t="s">
        <v>498</v>
      </c>
    </row>
    <row r="173" customFormat="false" ht="78.75" hidden="false" customHeight="true" outlineLevel="0" collapsed="false">
      <c r="A173" s="80" t="n">
        <v>36</v>
      </c>
      <c r="B173" s="71" t="s">
        <v>28</v>
      </c>
      <c r="C173" s="71" t="s">
        <v>489</v>
      </c>
      <c r="D173" s="72" t="s">
        <v>499</v>
      </c>
      <c r="E173" s="77" t="s">
        <v>123</v>
      </c>
      <c r="F173" s="85" t="n">
        <f aca="false">'Schedule Logic'!G156</f>
        <v>46414</v>
      </c>
      <c r="G173" s="85" t="n">
        <f aca="false">'Schedule Logic'!H156</f>
        <v>46419</v>
      </c>
      <c r="H173" s="86" t="n">
        <f aca="false">'Schedule Logic'!I156</f>
        <v>20</v>
      </c>
      <c r="I173" s="87" t="n">
        <v>0</v>
      </c>
      <c r="J173" s="88" t="s">
        <v>500</v>
      </c>
      <c r="K173" s="74" t="s">
        <v>492</v>
      </c>
      <c r="L173" s="75" t="n">
        <v>2000</v>
      </c>
      <c r="M173" s="75" t="n">
        <v>1500</v>
      </c>
      <c r="N173" s="71" t="s">
        <v>265</v>
      </c>
      <c r="O173" s="72" t="s">
        <v>501</v>
      </c>
    </row>
    <row r="174" customFormat="false" ht="52.5" hidden="false" customHeight="true" outlineLevel="0" collapsed="false">
      <c r="A174" s="60" t="n">
        <v>37</v>
      </c>
      <c r="B174" s="61" t="s">
        <v>28</v>
      </c>
      <c r="C174" s="61" t="s">
        <v>489</v>
      </c>
      <c r="D174" s="62" t="s">
        <v>502</v>
      </c>
      <c r="E174" s="63" t="s">
        <v>123</v>
      </c>
      <c r="F174" s="89" t="n">
        <f aca="false">'Schedule Logic'!G157</f>
        <v>46414</v>
      </c>
      <c r="G174" s="89" t="n">
        <f aca="false">'Schedule Logic'!H157</f>
        <v>46416</v>
      </c>
      <c r="H174" s="90" t="n">
        <f aca="false">'Schedule Logic'!I157</f>
        <v>16</v>
      </c>
      <c r="I174" s="91" t="n">
        <v>0</v>
      </c>
      <c r="J174" s="83" t="s">
        <v>503</v>
      </c>
      <c r="K174" s="68" t="s">
        <v>504</v>
      </c>
      <c r="L174" s="69"/>
      <c r="M174" s="69"/>
      <c r="N174" s="61"/>
      <c r="O174" s="62" t="s">
        <v>505</v>
      </c>
    </row>
    <row r="175" customFormat="false" ht="26.25" hidden="false" customHeight="true" outlineLevel="0" collapsed="false">
      <c r="A175" s="80" t="n">
        <v>38</v>
      </c>
      <c r="B175" s="71" t="s">
        <v>28</v>
      </c>
      <c r="C175" s="71" t="s">
        <v>506</v>
      </c>
      <c r="D175" s="72" t="s">
        <v>507</v>
      </c>
      <c r="E175" s="77" t="s">
        <v>123</v>
      </c>
      <c r="F175" s="85" t="n">
        <f aca="false">'Schedule Logic'!G152</f>
        <v>46307</v>
      </c>
      <c r="G175" s="85" t="n">
        <f aca="false">'Schedule Logic'!H152</f>
        <v>46318</v>
      </c>
      <c r="H175" s="86" t="n">
        <f aca="false">'Schedule Logic'!I152</f>
        <v>12</v>
      </c>
      <c r="I175" s="87" t="n">
        <v>0</v>
      </c>
      <c r="J175" s="77" t="s">
        <v>508</v>
      </c>
      <c r="K175" s="74" t="s">
        <v>146</v>
      </c>
      <c r="L175" s="75"/>
      <c r="M175" s="75" t="n">
        <v>2500</v>
      </c>
      <c r="N175" s="71"/>
      <c r="O175" s="72" t="s">
        <v>509</v>
      </c>
    </row>
    <row r="176" customFormat="false" ht="39" hidden="false" customHeight="true" outlineLevel="0" collapsed="false">
      <c r="A176" s="60" t="n">
        <v>39</v>
      </c>
      <c r="B176" s="61" t="s">
        <v>28</v>
      </c>
      <c r="C176" s="61" t="s">
        <v>506</v>
      </c>
      <c r="D176" s="62" t="s">
        <v>510</v>
      </c>
      <c r="E176" s="63" t="s">
        <v>123</v>
      </c>
      <c r="F176" s="89" t="n">
        <f aca="false">'Schedule Logic'!G153</f>
        <v>46307</v>
      </c>
      <c r="G176" s="89" t="n">
        <f aca="false">'Schedule Logic'!H153</f>
        <v>46318</v>
      </c>
      <c r="H176" s="90" t="n">
        <f aca="false">'Schedule Logic'!I153</f>
        <v>8</v>
      </c>
      <c r="I176" s="91" t="n">
        <v>0</v>
      </c>
      <c r="J176" s="63" t="s">
        <v>508</v>
      </c>
      <c r="K176" s="68" t="s">
        <v>146</v>
      </c>
      <c r="L176" s="69"/>
      <c r="M176" s="69"/>
      <c r="N176" s="61"/>
      <c r="O176" s="62" t="s">
        <v>511</v>
      </c>
    </row>
    <row r="177" customFormat="false" ht="26.25" hidden="false" customHeight="true" outlineLevel="0" collapsed="false">
      <c r="A177" s="80" t="n">
        <v>40</v>
      </c>
      <c r="B177" s="71" t="s">
        <v>28</v>
      </c>
      <c r="C177" s="71" t="s">
        <v>506</v>
      </c>
      <c r="D177" s="72" t="s">
        <v>512</v>
      </c>
      <c r="E177" s="77" t="s">
        <v>123</v>
      </c>
      <c r="F177" s="85" t="n">
        <f aca="false">'Schedule Logic'!G154</f>
        <v>46307</v>
      </c>
      <c r="G177" s="85" t="n">
        <f aca="false">'Schedule Logic'!H154</f>
        <v>46318</v>
      </c>
      <c r="H177" s="86" t="n">
        <f aca="false">'Schedule Logic'!I154</f>
        <v>4</v>
      </c>
      <c r="I177" s="87" t="n">
        <v>0</v>
      </c>
      <c r="J177" s="77" t="s">
        <v>508</v>
      </c>
      <c r="K177" s="74" t="s">
        <v>146</v>
      </c>
      <c r="L177" s="75"/>
      <c r="M177" s="75"/>
      <c r="N177" s="71"/>
      <c r="O177" s="72" t="s">
        <v>513</v>
      </c>
    </row>
    <row r="178" customFormat="false" ht="26.25" hidden="false" customHeight="true" outlineLevel="0" collapsed="false">
      <c r="A178" s="60" t="n">
        <v>41</v>
      </c>
      <c r="B178" s="61" t="s">
        <v>28</v>
      </c>
      <c r="C178" s="61" t="s">
        <v>506</v>
      </c>
      <c r="D178" s="62" t="s">
        <v>514</v>
      </c>
      <c r="E178" s="63" t="s">
        <v>123</v>
      </c>
      <c r="F178" s="89" t="n">
        <f aca="false">'Schedule Logic'!G162</f>
        <v>46428</v>
      </c>
      <c r="G178" s="89" t="n">
        <f aca="false">'Schedule Logic'!H162</f>
        <v>46429</v>
      </c>
      <c r="H178" s="90" t="n">
        <f aca="false">'Schedule Logic'!I162</f>
        <v>16</v>
      </c>
      <c r="I178" s="91" t="n">
        <v>0</v>
      </c>
      <c r="J178" s="107" t="s">
        <v>515</v>
      </c>
      <c r="K178" s="68" t="s">
        <v>391</v>
      </c>
      <c r="L178" s="69"/>
      <c r="M178" s="69"/>
      <c r="N178" s="61"/>
      <c r="O178" s="62" t="s">
        <v>516</v>
      </c>
    </row>
    <row r="179" customFormat="false" ht="14.25" hidden="false" customHeight="false" outlineLevel="0" collapsed="false">
      <c r="A179" s="80" t="n">
        <v>42</v>
      </c>
      <c r="B179" s="71" t="s">
        <v>28</v>
      </c>
      <c r="C179" s="71" t="s">
        <v>506</v>
      </c>
      <c r="D179" s="72" t="s">
        <v>517</v>
      </c>
      <c r="E179" s="77" t="s">
        <v>123</v>
      </c>
      <c r="F179" s="85" t="n">
        <f aca="false">'Schedule Logic'!G155</f>
        <v>46335</v>
      </c>
      <c r="G179" s="85" t="n">
        <f aca="false">'Schedule Logic'!H155</f>
        <v>46336</v>
      </c>
      <c r="H179" s="86" t="n">
        <f aca="false">'Schedule Logic'!I155</f>
        <v>16</v>
      </c>
      <c r="I179" s="87" t="n">
        <v>0</v>
      </c>
      <c r="J179" s="88" t="s">
        <v>518</v>
      </c>
      <c r="K179" s="74" t="s">
        <v>391</v>
      </c>
      <c r="L179" s="75"/>
      <c r="M179" s="75"/>
      <c r="N179" s="71"/>
      <c r="O179" s="72" t="s">
        <v>519</v>
      </c>
    </row>
    <row r="180" customFormat="false" ht="26.25" hidden="false" customHeight="true" outlineLevel="0" collapsed="false">
      <c r="A180" s="60" t="n">
        <v>43</v>
      </c>
      <c r="B180" s="61" t="s">
        <v>28</v>
      </c>
      <c r="C180" s="61" t="s">
        <v>506</v>
      </c>
      <c r="D180" s="62" t="s">
        <v>520</v>
      </c>
      <c r="E180" s="63" t="s">
        <v>123</v>
      </c>
      <c r="F180" s="89" t="n">
        <f aca="false">'Schedule Logic'!G160</f>
        <v>46423</v>
      </c>
      <c r="G180" s="89" t="n">
        <f aca="false">'Schedule Logic'!H160</f>
        <v>46427</v>
      </c>
      <c r="H180" s="90" t="n">
        <f aca="false">'Schedule Logic'!I160</f>
        <v>16</v>
      </c>
      <c r="I180" s="91" t="n">
        <v>0</v>
      </c>
      <c r="J180" s="83" t="s">
        <v>521</v>
      </c>
      <c r="K180" s="68" t="s">
        <v>391</v>
      </c>
      <c r="L180" s="69"/>
      <c r="M180" s="69" t="n">
        <v>500</v>
      </c>
      <c r="N180" s="61"/>
      <c r="O180" s="62" t="s">
        <v>522</v>
      </c>
    </row>
    <row r="181" customFormat="false" ht="14.25" hidden="false" customHeight="false" outlineLevel="0" collapsed="false">
      <c r="A181" s="80" t="n">
        <v>44</v>
      </c>
      <c r="B181" s="71" t="s">
        <v>28</v>
      </c>
      <c r="C181" s="71" t="s">
        <v>506</v>
      </c>
      <c r="D181" s="72" t="s">
        <v>523</v>
      </c>
      <c r="E181" s="77" t="s">
        <v>123</v>
      </c>
      <c r="F181" s="85" t="n">
        <f aca="false">'Schedule Logic'!G161</f>
        <v>46423</v>
      </c>
      <c r="G181" s="85" t="n">
        <f aca="false">'Schedule Logic'!H161</f>
        <v>46423</v>
      </c>
      <c r="H181" s="86" t="n">
        <f aca="false">'Schedule Logic'!I161</f>
        <v>1</v>
      </c>
      <c r="I181" s="87" t="n">
        <v>0</v>
      </c>
      <c r="J181" s="88" t="s">
        <v>521</v>
      </c>
      <c r="K181" s="74" t="s">
        <v>146</v>
      </c>
      <c r="L181" s="75"/>
      <c r="M181" s="75"/>
      <c r="N181" s="71"/>
      <c r="O181" s="72" t="s">
        <v>524</v>
      </c>
    </row>
    <row r="182" customFormat="false" ht="14.25" hidden="false" customHeight="false" outlineLevel="0" collapsed="false">
      <c r="A182" s="60" t="n">
        <v>45</v>
      </c>
      <c r="B182" s="61" t="s">
        <v>28</v>
      </c>
      <c r="C182" s="61" t="s">
        <v>506</v>
      </c>
      <c r="D182" s="62" t="s">
        <v>525</v>
      </c>
      <c r="E182" s="79" t="s">
        <v>218</v>
      </c>
      <c r="F182" s="79"/>
      <c r="G182" s="79"/>
      <c r="H182" s="79"/>
      <c r="I182" s="111"/>
      <c r="J182" s="67" t="s">
        <v>124</v>
      </c>
      <c r="K182" s="68"/>
      <c r="L182" s="69"/>
      <c r="M182" s="69"/>
      <c r="N182" s="61"/>
      <c r="O182" s="62"/>
    </row>
    <row r="183" customFormat="false" ht="14.25" hidden="false" customHeight="false" outlineLevel="0" collapsed="false">
      <c r="A183" s="80" t="n">
        <v>46</v>
      </c>
      <c r="B183" s="71" t="s">
        <v>28</v>
      </c>
      <c r="C183" s="71" t="s">
        <v>526</v>
      </c>
      <c r="D183" s="72" t="s">
        <v>527</v>
      </c>
      <c r="E183" s="100" t="s">
        <v>218</v>
      </c>
      <c r="F183" s="100"/>
      <c r="G183" s="100"/>
      <c r="H183" s="100"/>
      <c r="I183" s="101"/>
      <c r="J183" s="73" t="s">
        <v>124</v>
      </c>
      <c r="K183" s="74"/>
      <c r="L183" s="75"/>
      <c r="M183" s="75"/>
      <c r="N183" s="71"/>
      <c r="O183" s="72" t="s">
        <v>528</v>
      </c>
    </row>
    <row r="184" customFormat="false" ht="14.25" hidden="false" customHeight="false" outlineLevel="0" collapsed="false">
      <c r="A184" s="60" t="n">
        <v>47</v>
      </c>
      <c r="B184" s="61" t="s">
        <v>28</v>
      </c>
      <c r="C184" s="61" t="s">
        <v>529</v>
      </c>
      <c r="D184" s="62" t="s">
        <v>530</v>
      </c>
      <c r="E184" s="70" t="s">
        <v>132</v>
      </c>
      <c r="F184" s="70"/>
      <c r="G184" s="70"/>
      <c r="H184" s="70"/>
      <c r="I184" s="96" t="n">
        <v>1</v>
      </c>
      <c r="J184" s="67" t="s">
        <v>124</v>
      </c>
      <c r="K184" s="68"/>
      <c r="L184" s="69"/>
      <c r="M184" s="69"/>
      <c r="N184" s="61"/>
      <c r="O184" s="62"/>
    </row>
    <row r="185" customFormat="false" ht="14.25" hidden="false" customHeight="false" outlineLevel="0" collapsed="false">
      <c r="A185" s="80" t="n">
        <v>48</v>
      </c>
      <c r="B185" s="71" t="s">
        <v>28</v>
      </c>
      <c r="C185" s="71" t="s">
        <v>529</v>
      </c>
      <c r="D185" s="72" t="s">
        <v>531</v>
      </c>
      <c r="E185" s="77" t="s">
        <v>123</v>
      </c>
      <c r="F185" s="85" t="n">
        <f aca="false">'Schedule Logic'!G163</f>
        <v>46440</v>
      </c>
      <c r="G185" s="85" t="n">
        <f aca="false">'Schedule Logic'!H163</f>
        <v>46440</v>
      </c>
      <c r="H185" s="86" t="n">
        <f aca="false">'Schedule Logic'!I163</f>
        <v>2</v>
      </c>
      <c r="I185" s="87" t="n">
        <v>0</v>
      </c>
      <c r="J185" s="104" t="s">
        <v>480</v>
      </c>
      <c r="K185" s="74" t="s">
        <v>184</v>
      </c>
      <c r="L185" s="75"/>
      <c r="M185" s="75"/>
      <c r="N185" s="71"/>
      <c r="O185" s="72" t="s">
        <v>532</v>
      </c>
    </row>
    <row r="186" customFormat="false" ht="14.25" hidden="false" customHeight="false" outlineLevel="0" collapsed="false">
      <c r="A186" s="60" t="n">
        <v>49</v>
      </c>
      <c r="B186" s="61" t="s">
        <v>28</v>
      </c>
      <c r="C186" s="61" t="s">
        <v>343</v>
      </c>
      <c r="D186" s="62" t="s">
        <v>533</v>
      </c>
      <c r="E186" s="63" t="s">
        <v>123</v>
      </c>
      <c r="F186" s="89" t="n">
        <f aca="false">'Schedule Logic'!G164</f>
        <v>46451</v>
      </c>
      <c r="G186" s="89" t="n">
        <f aca="false">'Schedule Logic'!H164</f>
        <v>46451</v>
      </c>
      <c r="H186" s="90" t="n">
        <f aca="false">'Schedule Logic'!I164</f>
        <v>6</v>
      </c>
      <c r="I186" s="91" t="n">
        <v>0</v>
      </c>
      <c r="J186" s="83" t="s">
        <v>222</v>
      </c>
      <c r="K186" s="68" t="s">
        <v>194</v>
      </c>
      <c r="L186" s="69"/>
      <c r="M186" s="69"/>
      <c r="N186" s="61"/>
      <c r="O186" s="62" t="s">
        <v>534</v>
      </c>
    </row>
    <row r="187" customFormat="false" ht="14.25" hidden="false" customHeight="false" outlineLevel="0" collapsed="false">
      <c r="A187" s="80" t="n">
        <v>50</v>
      </c>
      <c r="B187" s="71" t="s">
        <v>28</v>
      </c>
      <c r="C187" s="71" t="s">
        <v>343</v>
      </c>
      <c r="D187" s="72" t="s">
        <v>535</v>
      </c>
      <c r="E187" s="77" t="s">
        <v>123</v>
      </c>
      <c r="F187" s="85" t="n">
        <f aca="false">'Schedule Logic'!G165</f>
        <v>46423</v>
      </c>
      <c r="G187" s="85" t="n">
        <f aca="false">'Schedule Logic'!H165</f>
        <v>46423</v>
      </c>
      <c r="H187" s="86" t="n">
        <f aca="false">'Schedule Logic'!I165</f>
        <v>2</v>
      </c>
      <c r="I187" s="87" t="n">
        <v>0</v>
      </c>
      <c r="J187" s="104" t="s">
        <v>480</v>
      </c>
      <c r="K187" s="74" t="s">
        <v>146</v>
      </c>
      <c r="L187" s="75"/>
      <c r="M187" s="75"/>
      <c r="N187" s="71"/>
      <c r="O187" s="72" t="s">
        <v>536</v>
      </c>
    </row>
    <row r="188" customFormat="false" ht="14.25" hidden="false" customHeight="false" outlineLevel="0" collapsed="false">
      <c r="A188" s="60" t="n">
        <v>51</v>
      </c>
      <c r="B188" s="61" t="s">
        <v>28</v>
      </c>
      <c r="C188" s="61" t="s">
        <v>343</v>
      </c>
      <c r="D188" s="62" t="s">
        <v>537</v>
      </c>
      <c r="E188" s="70" t="s">
        <v>132</v>
      </c>
      <c r="F188" s="70"/>
      <c r="G188" s="70"/>
      <c r="H188" s="70"/>
      <c r="I188" s="96" t="n">
        <v>1</v>
      </c>
      <c r="J188" s="67" t="s">
        <v>124</v>
      </c>
      <c r="K188" s="68"/>
      <c r="L188" s="69"/>
      <c r="M188" s="69"/>
      <c r="N188" s="61"/>
      <c r="O188" s="62" t="s">
        <v>538</v>
      </c>
    </row>
    <row r="189" customFormat="false" ht="39" hidden="false" customHeight="true" outlineLevel="0" collapsed="false">
      <c r="A189" s="60" t="s">
        <v>539</v>
      </c>
      <c r="B189" s="61" t="s">
        <v>28</v>
      </c>
      <c r="C189" s="61" t="s">
        <v>489</v>
      </c>
      <c r="D189" s="62" t="s">
        <v>540</v>
      </c>
      <c r="E189" s="63" t="s">
        <v>123</v>
      </c>
      <c r="F189" s="89" t="n">
        <f aca="false">'Schedule Logic'!G166</f>
        <v>46423</v>
      </c>
      <c r="G189" s="89" t="n">
        <f aca="false">'Schedule Logic'!H166</f>
        <v>46429</v>
      </c>
      <c r="H189" s="90" t="n">
        <f aca="false">'Schedule Logic'!I166</f>
        <v>40</v>
      </c>
      <c r="I189" s="91" t="n">
        <v>0</v>
      </c>
      <c r="J189" s="83" t="s">
        <v>124</v>
      </c>
      <c r="K189" s="68" t="s">
        <v>391</v>
      </c>
      <c r="L189" s="69"/>
      <c r="M189" s="69"/>
      <c r="N189" s="61"/>
      <c r="O189" s="62" t="s">
        <v>541</v>
      </c>
    </row>
  </sheetData>
  <mergeCells count="5">
    <mergeCell ref="A6:O6"/>
    <mergeCell ref="A32:O32"/>
    <mergeCell ref="A46:O46"/>
    <mergeCell ref="A58:O58"/>
    <mergeCell ref="A151:O151"/>
  </mergeCells>
  <dataValidations count="2">
    <dataValidation allowBlank="true" errorStyle="stop" operator="between" showDropDown="false" showErrorMessage="false" showInputMessage="false" sqref="E6:I6 E7:E149 E151:E189" type="list">
      <formula1>"Pending,In Progress,Complete,Not Needed"</formula1>
      <formula2>0</formula2>
    </dataValidation>
    <dataValidation allowBlank="true" errorStyle="stop" operator="between" showDropDown="false" showErrorMessage="false" showInputMessage="false" sqref="K6:K149 K151:K189" type="list">
      <formula1>"A,V,H,S,M,G,Sub,A + V,A + H,A / S,A / V,A &gt; V,V &gt; A,V+H / A,V / H / S,A / M,A / Sub"</formula1>
      <formula2>0</formula2>
    </dataValidation>
  </dataValidations>
  <hyperlinks>
    <hyperlink ref="O22" r:id="rId2" display="Residential-AlterationsAdditions"/>
    <hyperlink ref="O23" r:id="rId3" display="Mechanical"/>
    <hyperlink ref="O24" r:id="rId4" display="Please submit/upload plans in PDF format"/>
    <hyperlink ref="O25" r:id="rId5" display="Plumbing"/>
    <hyperlink ref="O26" r:id="rId6" display="Fences"/>
    <hyperlink ref="O27" r:id="rId7" display="Concrete, Patios, Decks, Slabs, Pavers Dec21.docx"/>
    <hyperlink ref="O28" r:id="rId8" display="Gazebo-Dec1.docx"/>
    <hyperlink ref="O29" r:id="rId9" display="Garage-Door-Replacement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1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B1:D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8"/>
    <col collapsed="false" customWidth="true" hidden="false" outlineLevel="0" max="3" min="3" style="0" width="18"/>
    <col collapsed="false" customWidth="true" hidden="false" outlineLevel="0" max="4" min="4" style="0" width="70"/>
  </cols>
  <sheetData>
    <row r="1" customFormat="false" ht="17.35" hidden="false" customHeight="false" outlineLevel="0" collapsed="false">
      <c r="B1" s="112" t="s">
        <v>542</v>
      </c>
    </row>
    <row r="2" customFormat="false" ht="15" hidden="false" customHeight="false" outlineLevel="0" collapsed="false">
      <c r="B2" s="113" t="s">
        <v>543</v>
      </c>
    </row>
    <row r="4" customFormat="false" ht="15" hidden="false" customHeight="false" outlineLevel="0" collapsed="false">
      <c r="B4" s="114" t="s">
        <v>544</v>
      </c>
      <c r="C4" s="115"/>
      <c r="D4" s="115"/>
    </row>
    <row r="5" customFormat="false" ht="15" hidden="false" customHeight="false" outlineLevel="0" collapsed="false">
      <c r="B5" s="116" t="s">
        <v>545</v>
      </c>
      <c r="C5" s="117" t="n">
        <f aca="false">'Schedule Logic'!C3</f>
        <v>46300</v>
      </c>
    </row>
    <row r="6" customFormat="false" ht="15" hidden="false" customHeight="false" outlineLevel="0" collapsed="false">
      <c r="B6" s="116" t="s">
        <v>546</v>
      </c>
      <c r="C6" s="117" t="n">
        <f aca="false">'Schedule Logic'!H169</f>
        <v>46370</v>
      </c>
    </row>
    <row r="7" customFormat="false" ht="15" hidden="false" customHeight="false" outlineLevel="0" collapsed="false">
      <c r="B7" s="116" t="s">
        <v>547</v>
      </c>
      <c r="C7" s="117" t="n">
        <f aca="false">'Schedule Logic'!H172</f>
        <v>46374</v>
      </c>
    </row>
    <row r="8" customFormat="false" ht="15" hidden="false" customHeight="false" outlineLevel="0" collapsed="false">
      <c r="B8" s="116" t="s">
        <v>548</v>
      </c>
      <c r="C8" s="117" t="n">
        <f aca="false">'Schedule Logic'!H170</f>
        <v>46394</v>
      </c>
    </row>
    <row r="9" customFormat="false" ht="15" hidden="false" customHeight="false" outlineLevel="0" collapsed="false">
      <c r="B9" s="116" t="s">
        <v>549</v>
      </c>
      <c r="C9" s="117" t="n">
        <f aca="false">'Schedule Logic'!H171</f>
        <v>46413</v>
      </c>
    </row>
    <row r="10" customFormat="false" ht="15" hidden="false" customHeight="false" outlineLevel="0" collapsed="false">
      <c r="B10" s="116" t="s">
        <v>550</v>
      </c>
      <c r="C10" s="117" t="n">
        <f aca="false">'Schedule Logic'!H179</f>
        <v>46420</v>
      </c>
    </row>
    <row r="11" customFormat="false" ht="15" hidden="false" customHeight="false" outlineLevel="0" collapsed="false">
      <c r="B11" s="116" t="s">
        <v>41</v>
      </c>
      <c r="C11" s="117" t="n">
        <f aca="false">'Schedule Logic'!H180</f>
        <v>46434</v>
      </c>
    </row>
    <row r="12" customFormat="false" ht="15" hidden="false" customHeight="false" outlineLevel="0" collapsed="false">
      <c r="B12" s="116" t="s">
        <v>551</v>
      </c>
      <c r="C12" s="117" t="n">
        <f aca="false">'Schedule Logic'!H177</f>
        <v>46437</v>
      </c>
    </row>
    <row r="13" customFormat="false" ht="15" hidden="false" customHeight="false" outlineLevel="0" collapsed="false">
      <c r="B13" s="116" t="s">
        <v>552</v>
      </c>
      <c r="C13" s="117" t="n">
        <f aca="false">'Schedule Logic'!H182</f>
        <v>46442</v>
      </c>
    </row>
    <row r="14" customFormat="false" ht="15" hidden="false" customHeight="false" outlineLevel="0" collapsed="false">
      <c r="B14" s="116" t="s">
        <v>553</v>
      </c>
      <c r="C14" s="117" t="n">
        <f aca="false">'Schedule Logic'!H173</f>
        <v>46450</v>
      </c>
    </row>
    <row r="15" customFormat="false" ht="15" hidden="false" customHeight="false" outlineLevel="0" collapsed="false">
      <c r="B15" s="116" t="s">
        <v>554</v>
      </c>
      <c r="C15" s="117" t="n">
        <f aca="false">'Schedule Logic'!H178</f>
        <v>46457</v>
      </c>
    </row>
    <row r="16" customFormat="false" ht="15" hidden="false" customHeight="false" outlineLevel="0" collapsed="false">
      <c r="B16" s="116" t="s">
        <v>555</v>
      </c>
      <c r="C16" s="117" t="n">
        <f aca="false">'Schedule Logic'!H181</f>
        <v>46458</v>
      </c>
    </row>
    <row r="17" customFormat="false" ht="15" hidden="false" customHeight="false" outlineLevel="0" collapsed="false">
      <c r="B17" s="116" t="s">
        <v>43</v>
      </c>
      <c r="C17" s="117" t="n">
        <f aca="false">'Schedule Logic'!H183</f>
        <v>46465</v>
      </c>
    </row>
    <row r="18" customFormat="false" ht="15" hidden="false" customHeight="false" outlineLevel="0" collapsed="false">
      <c r="B18" s="116" t="s">
        <v>556</v>
      </c>
      <c r="C18" s="117" t="n">
        <f aca="false">'Schedule Logic'!H184</f>
        <v>46472</v>
      </c>
    </row>
    <row r="19" customFormat="false" ht="15" hidden="false" customHeight="false" outlineLevel="0" collapsed="false">
      <c r="B19" s="116" t="s">
        <v>45</v>
      </c>
      <c r="C19" s="117" t="n">
        <f aca="false">'Schedule Logic'!H185</f>
        <v>46437</v>
      </c>
    </row>
    <row r="20" customFormat="false" ht="15" hidden="false" customHeight="false" outlineLevel="0" collapsed="false">
      <c r="B20" s="118" t="s">
        <v>557</v>
      </c>
      <c r="C20" s="119" t="n">
        <f aca="false">'Schedule Logic'!H186</f>
        <v>46477</v>
      </c>
    </row>
    <row r="21" customFormat="false" ht="15" hidden="false" customHeight="false" outlineLevel="0" collapsed="false">
      <c r="B21" s="116" t="s">
        <v>558</v>
      </c>
      <c r="C21" s="120" t="n">
        <f aca="false">NETWORKDAYS('Schedule Logic'!C3,'Schedule Logic'!H186,'Schedule Logic'!$M$6:$M$11)</f>
        <v>122</v>
      </c>
    </row>
    <row r="22" customFormat="false" ht="15" hidden="false" customHeight="false" outlineLevel="0" collapsed="false">
      <c r="B22" s="116" t="s">
        <v>559</v>
      </c>
      <c r="C22" s="121" t="n">
        <f aca="false">'Schedule Logic'!I198</f>
        <v>2015</v>
      </c>
    </row>
    <row r="23" customFormat="false" ht="35.05" hidden="false" customHeight="false" outlineLevel="0" collapsed="false">
      <c r="B23" s="116" t="s">
        <v>560</v>
      </c>
      <c r="D23" s="116" t="s">
        <v>561</v>
      </c>
    </row>
    <row r="25" customFormat="false" ht="15" hidden="false" customHeight="false" outlineLevel="0" collapsed="false">
      <c r="B25" s="114" t="s">
        <v>562</v>
      </c>
      <c r="C25" s="115"/>
      <c r="D25" s="115"/>
    </row>
    <row r="26" customFormat="false" ht="35.05" hidden="false" customHeight="false" outlineLevel="0" collapsed="false">
      <c r="B26" s="118" t="s">
        <v>563</v>
      </c>
      <c r="D26" s="118" t="s">
        <v>564</v>
      </c>
    </row>
    <row r="27" customFormat="false" ht="23.85" hidden="false" customHeight="false" outlineLevel="0" collapsed="false">
      <c r="B27" s="118" t="s">
        <v>565</v>
      </c>
      <c r="D27" s="118" t="s">
        <v>566</v>
      </c>
    </row>
    <row r="28" customFormat="false" ht="57.45" hidden="false" customHeight="false" outlineLevel="0" collapsed="false">
      <c r="B28" s="118" t="s">
        <v>567</v>
      </c>
      <c r="D28" s="118" t="s">
        <v>568</v>
      </c>
    </row>
    <row r="29" customFormat="false" ht="23.85" hidden="false" customHeight="false" outlineLevel="0" collapsed="false">
      <c r="B29" s="118" t="s">
        <v>569</v>
      </c>
      <c r="D29" s="118" t="s">
        <v>570</v>
      </c>
    </row>
    <row r="30" customFormat="false" ht="23.85" hidden="false" customHeight="false" outlineLevel="0" collapsed="false">
      <c r="B30" s="118" t="s">
        <v>571</v>
      </c>
      <c r="D30" s="118" t="s">
        <v>572</v>
      </c>
    </row>
    <row r="31" customFormat="false" ht="35.05" hidden="false" customHeight="false" outlineLevel="0" collapsed="false">
      <c r="B31" s="118" t="s">
        <v>573</v>
      </c>
      <c r="D31" s="118" t="s">
        <v>574</v>
      </c>
    </row>
    <row r="32" customFormat="false" ht="35.05" hidden="false" customHeight="false" outlineLevel="0" collapsed="false">
      <c r="B32" s="118" t="s">
        <v>575</v>
      </c>
      <c r="D32" s="118" t="s">
        <v>576</v>
      </c>
    </row>
    <row r="33" customFormat="false" ht="23.85" hidden="false" customHeight="false" outlineLevel="0" collapsed="false">
      <c r="B33" s="118" t="s">
        <v>577</v>
      </c>
      <c r="D33" s="118" t="s">
        <v>578</v>
      </c>
    </row>
    <row r="35" customFormat="false" ht="15" hidden="false" customHeight="false" outlineLevel="0" collapsed="false">
      <c r="B35" s="114" t="s">
        <v>579</v>
      </c>
      <c r="C35" s="115"/>
      <c r="D35" s="115"/>
    </row>
    <row r="36" customFormat="false" ht="23.85" hidden="false" customHeight="false" outlineLevel="0" collapsed="false">
      <c r="B36" s="118" t="s">
        <v>580</v>
      </c>
      <c r="D36" s="118" t="s">
        <v>581</v>
      </c>
    </row>
    <row r="37" customFormat="false" ht="23.85" hidden="false" customHeight="false" outlineLevel="0" collapsed="false">
      <c r="B37" s="118" t="s">
        <v>582</v>
      </c>
      <c r="D37" s="118" t="s">
        <v>583</v>
      </c>
    </row>
    <row r="38" customFormat="false" ht="23.85" hidden="false" customHeight="false" outlineLevel="0" collapsed="false">
      <c r="B38" s="118" t="s">
        <v>584</v>
      </c>
      <c r="D38" s="118" t="s">
        <v>585</v>
      </c>
    </row>
    <row r="39" customFormat="false" ht="23.85" hidden="false" customHeight="false" outlineLevel="0" collapsed="false">
      <c r="B39" s="118" t="s">
        <v>586</v>
      </c>
      <c r="D39" s="118" t="s">
        <v>587</v>
      </c>
    </row>
    <row r="40" customFormat="false" ht="23.85" hidden="false" customHeight="false" outlineLevel="0" collapsed="false">
      <c r="B40" s="118" t="s">
        <v>588</v>
      </c>
      <c r="D40" s="118" t="s">
        <v>589</v>
      </c>
    </row>
    <row r="41" customFormat="false" ht="23.85" hidden="false" customHeight="false" outlineLevel="0" collapsed="false">
      <c r="B41" s="118" t="s">
        <v>590</v>
      </c>
      <c r="D41" s="118" t="s">
        <v>591</v>
      </c>
    </row>
    <row r="42" customFormat="false" ht="23.85" hidden="false" customHeight="false" outlineLevel="0" collapsed="false">
      <c r="B42" s="118" t="s">
        <v>592</v>
      </c>
      <c r="D42" s="118" t="s">
        <v>593</v>
      </c>
    </row>
    <row r="43" customFormat="false" ht="15" hidden="false" customHeight="false" outlineLevel="0" collapsed="false">
      <c r="B43" s="118" t="s">
        <v>594</v>
      </c>
      <c r="D43" s="118" t="s">
        <v>595</v>
      </c>
    </row>
    <row r="44" customFormat="false" ht="15" hidden="false" customHeight="false" outlineLevel="0" collapsed="false">
      <c r="B44" s="118" t="s">
        <v>596</v>
      </c>
      <c r="D44" s="118" t="s">
        <v>597</v>
      </c>
    </row>
    <row r="45" customFormat="false" ht="23.85" hidden="false" customHeight="false" outlineLevel="0" collapsed="false">
      <c r="B45" s="118" t="s">
        <v>598</v>
      </c>
      <c r="D45" s="118" t="s">
        <v>599</v>
      </c>
    </row>
    <row r="47" customFormat="false" ht="15" hidden="false" customHeight="false" outlineLevel="0" collapsed="false">
      <c r="B47" s="114" t="s">
        <v>600</v>
      </c>
      <c r="C47" s="115"/>
      <c r="D47" s="115"/>
    </row>
    <row r="48" customFormat="false" ht="23.85" hidden="false" customHeight="false" outlineLevel="0" collapsed="false">
      <c r="B48" s="118" t="s">
        <v>601</v>
      </c>
      <c r="D48" s="118" t="s">
        <v>602</v>
      </c>
    </row>
    <row r="49" customFormat="false" ht="23.85" hidden="false" customHeight="false" outlineLevel="0" collapsed="false">
      <c r="B49" s="118" t="s">
        <v>603</v>
      </c>
      <c r="D49" s="118" t="s">
        <v>604</v>
      </c>
    </row>
    <row r="50" customFormat="false" ht="15" hidden="false" customHeight="false" outlineLevel="0" collapsed="false">
      <c r="B50" s="118" t="s">
        <v>605</v>
      </c>
      <c r="D50" s="118" t="s">
        <v>606</v>
      </c>
    </row>
    <row r="51" customFormat="false" ht="15" hidden="false" customHeight="false" outlineLevel="0" collapsed="false">
      <c r="B51" s="118" t="s">
        <v>607</v>
      </c>
      <c r="D51" s="118" t="s">
        <v>608</v>
      </c>
    </row>
    <row r="52" customFormat="false" ht="15" hidden="false" customHeight="false" outlineLevel="0" collapsed="false">
      <c r="B52" s="118" t="s">
        <v>609</v>
      </c>
      <c r="D52" s="118" t="s">
        <v>610</v>
      </c>
    </row>
    <row r="53" customFormat="false" ht="23.85" hidden="false" customHeight="false" outlineLevel="0" collapsed="false">
      <c r="B53" s="118" t="s">
        <v>611</v>
      </c>
      <c r="D53" s="118" t="s">
        <v>612</v>
      </c>
    </row>
    <row r="54" customFormat="false" ht="23.85" hidden="false" customHeight="false" outlineLevel="0" collapsed="false">
      <c r="B54" s="118" t="s">
        <v>613</v>
      </c>
      <c r="D54" s="118" t="s">
        <v>614</v>
      </c>
    </row>
    <row r="55" customFormat="false" ht="15" hidden="false" customHeight="false" outlineLevel="0" collapsed="false">
      <c r="B55" s="118" t="s">
        <v>615</v>
      </c>
      <c r="D55" s="118" t="s">
        <v>616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6"/>
    <col collapsed="false" customWidth="true" hidden="false" outlineLevel="0" max="3" min="3" style="0" width="44"/>
    <col collapsed="false" customWidth="true" hidden="false" outlineLevel="0" max="4" min="4" style="0" width="3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8" min="7" style="0" width="13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70"/>
    <col collapsed="false" customWidth="true" hidden="false" outlineLevel="0" max="12" min="12" style="0" width="2"/>
    <col collapsed="false" customWidth="true" hidden="false" outlineLevel="0" max="13" min="13" style="0" width="13"/>
    <col collapsed="false" customWidth="true" hidden="false" outlineLevel="0" max="14" min="14" style="0" width="30"/>
    <col collapsed="false" customWidth="true" hidden="false" outlineLevel="0" max="16" min="16" style="0" width="20"/>
    <col collapsed="false" customWidth="true" hidden="false" outlineLevel="0" max="28" min="17" style="0" width="11"/>
  </cols>
  <sheetData>
    <row r="1" customFormat="false" ht="17.35" hidden="false" customHeight="false" outlineLevel="0" collapsed="false">
      <c r="A1" s="122" t="s">
        <v>617</v>
      </c>
    </row>
    <row r="2" customFormat="false" ht="15" hidden="false" customHeight="false" outlineLevel="0" collapsed="false">
      <c r="A2" s="123" t="s">
        <v>618</v>
      </c>
    </row>
    <row r="3" customFormat="false" ht="15" hidden="false" customHeight="false" outlineLevel="0" collapsed="false">
      <c r="A3" s="54" t="s">
        <v>619</v>
      </c>
      <c r="C3" s="124" t="n">
        <v>46300</v>
      </c>
      <c r="D3" s="123" t="s">
        <v>620</v>
      </c>
    </row>
    <row r="4" customFormat="false" ht="15" hidden="false" customHeight="false" outlineLevel="0" collapsed="false">
      <c r="P4" s="30" t="s">
        <v>621</v>
      </c>
    </row>
    <row r="5" customFormat="false" ht="22.35" hidden="false" customHeight="false" outlineLevel="0" collapsed="false">
      <c r="A5" s="125" t="s">
        <v>622</v>
      </c>
      <c r="B5" s="125" t="s">
        <v>107</v>
      </c>
      <c r="C5" s="125" t="s">
        <v>110</v>
      </c>
      <c r="D5" s="125" t="s">
        <v>623</v>
      </c>
      <c r="E5" s="125" t="s">
        <v>624</v>
      </c>
      <c r="F5" s="125" t="s">
        <v>625</v>
      </c>
      <c r="G5" s="125" t="s">
        <v>626</v>
      </c>
      <c r="H5" s="125" t="s">
        <v>627</v>
      </c>
      <c r="I5" s="125" t="s">
        <v>628</v>
      </c>
      <c r="J5" s="125" t="s">
        <v>49</v>
      </c>
      <c r="K5" s="125" t="s">
        <v>629</v>
      </c>
      <c r="M5" s="126" t="s">
        <v>630</v>
      </c>
      <c r="P5" s="32" t="s">
        <v>108</v>
      </c>
      <c r="Q5" s="32" t="s">
        <v>17</v>
      </c>
      <c r="R5" s="32" t="s">
        <v>631</v>
      </c>
      <c r="S5" s="32" t="s">
        <v>632</v>
      </c>
      <c r="T5" s="32" t="s">
        <v>633</v>
      </c>
      <c r="U5" s="32" t="s">
        <v>16</v>
      </c>
      <c r="V5" s="32" t="s">
        <v>634</v>
      </c>
      <c r="W5" s="32" t="s">
        <v>635</v>
      </c>
      <c r="X5" s="32" t="s">
        <v>636</v>
      </c>
      <c r="Y5" s="32" t="s">
        <v>637</v>
      </c>
      <c r="Z5" s="32" t="s">
        <v>638</v>
      </c>
      <c r="AA5" s="32" t="s">
        <v>639</v>
      </c>
      <c r="AB5" s="32" t="s">
        <v>640</v>
      </c>
    </row>
    <row r="6" customFormat="false" ht="15" hidden="false" customHeight="false" outlineLevel="0" collapsed="false">
      <c r="A6" s="59" t="s">
        <v>120</v>
      </c>
      <c r="B6" s="127"/>
      <c r="C6" s="127"/>
      <c r="D6" s="127"/>
      <c r="E6" s="127"/>
      <c r="F6" s="127"/>
      <c r="G6" s="127"/>
      <c r="H6" s="127"/>
      <c r="I6" s="127"/>
      <c r="J6" s="127"/>
      <c r="K6" s="127"/>
      <c r="M6" s="128" t="n">
        <v>46337</v>
      </c>
      <c r="N6" s="51" t="s">
        <v>641</v>
      </c>
      <c r="P6" s="129" t="str">
        <f aca="false">IF(ISNUMBER($A6),INDEX('Scope Checklist'!$B:$B,$A6),"")</f>
        <v/>
      </c>
      <c r="Q6" s="129" t="str">
        <f aca="false">IF(ISNUMBER($A6),INDEX('Scope Checklist'!$E:$E,$A6),"")</f>
        <v/>
      </c>
      <c r="R6" s="129" t="n">
        <f aca="false">IF(AND(ISNUMBER($A6),ISNUMBER($I6),ISNUMBER($H6)),$I6,0)</f>
        <v>0</v>
      </c>
      <c r="S6" s="130" t="n">
        <f aca="false">IF(ISNUMBER($G6),$G6,0)</f>
        <v>0</v>
      </c>
      <c r="T6" s="130" t="n">
        <f aca="false">IF(ISNUMBER($H6),$H6,S6)</f>
        <v>0</v>
      </c>
      <c r="U6" s="131" t="n">
        <f aca="false">IF(ISNUMBER($A6),IF(Q6="Complete",1,N(INDEX('Scope Checklist'!$I:$I,$A6))),0)</f>
        <v>0</v>
      </c>
      <c r="V6" s="131" t="n">
        <f aca="false">IF(OR(NOT(ISNUMBER($A6)),S6=0),0,IF(Dashboard!$C$4&lt;S6,0,IF(Dashboard!$C$4&gt;=T6,1,NETWORKDAYS(S6,Dashboard!$C$4,$M$6:$M$11)/NETWORKDAYS(S6,T6,$M$6:$M$11))))</f>
        <v>0</v>
      </c>
      <c r="W6" s="129" t="n">
        <f aca="false">R6*U6</f>
        <v>0</v>
      </c>
      <c r="X6" s="129" t="n">
        <f aca="false">R6*V6</f>
        <v>0</v>
      </c>
      <c r="Y6" s="132" t="b">
        <f aca="false">AND(ISNUMBER($A6),ISNUMBER($I6),T6&gt;0,T6&lt;Dashboard!$C$4,U6&lt;1)</f>
        <v>0</v>
      </c>
      <c r="Z6" s="129" t="str">
        <f aca="false">IF(Y6,COUNTIF(Y$6:Y6,TRUE()),"")</f>
        <v/>
      </c>
      <c r="AA6" s="132" t="b">
        <f aca="false">AND(ISNUMBER($A6),ISNUMBER($I6),U6&lt;1,NOT(Y6),S6&gt;0,S6&lt;=WORKDAY(Dashboard!$C$4,10,$M$6:$M$11),T6&gt;=Dashboard!$C$4)</f>
        <v>0</v>
      </c>
      <c r="AB6" s="129" t="str">
        <f aca="false">IF(AA6,COUNTIF(AA$6:AA6,TRUE()),"")</f>
        <v/>
      </c>
    </row>
    <row r="7" customFormat="false" ht="23.85" hidden="false" customHeight="false" outlineLevel="0" collapsed="false">
      <c r="A7" s="133" t="n">
        <v>8</v>
      </c>
      <c r="B7" s="134" t="n">
        <f aca="false">IF('Scope Checklist'!A8="","-",'Scope Checklist'!A8)</f>
        <v>2</v>
      </c>
      <c r="C7" s="135" t="str">
        <f aca="false">'Scope Checklist'!D8</f>
        <v>Determine specification sheets (Render)</v>
      </c>
      <c r="D7" s="62" t="s">
        <v>619</v>
      </c>
      <c r="E7" s="136" t="n">
        <v>0</v>
      </c>
      <c r="F7" s="136" t="n">
        <v>10</v>
      </c>
      <c r="G7" s="64" t="n">
        <f aca="false">$C$3</f>
        <v>46300</v>
      </c>
      <c r="H7" s="64" t="n">
        <f aca="false">WORKDAY(G7,F7-1,$M$6:$M$11)</f>
        <v>46311</v>
      </c>
      <c r="I7" s="136" t="n">
        <v>40</v>
      </c>
      <c r="J7" s="133" t="s">
        <v>146</v>
      </c>
      <c r="K7" s="62" t="s">
        <v>642</v>
      </c>
      <c r="M7" s="128" t="n">
        <v>46352</v>
      </c>
      <c r="N7" s="51" t="s">
        <v>643</v>
      </c>
      <c r="P7" s="129" t="str">
        <f aca="false">IF(ISNUMBER($A7),INDEX('Scope Checklist'!$B:$B,$A7),"")</f>
        <v>Pre-Construction</v>
      </c>
      <c r="Q7" s="129" t="str">
        <f aca="false">IF(ISNUMBER($A7),INDEX('Scope Checklist'!$E:$E,$A7),"")</f>
        <v>Pending</v>
      </c>
      <c r="R7" s="129" t="n">
        <f aca="false">IF(AND(ISNUMBER($A7),ISNUMBER($I7),ISNUMBER($H7)),$I7,0)</f>
        <v>40</v>
      </c>
      <c r="S7" s="130" t="n">
        <f aca="false">IF(ISNUMBER($G7),$G7,0)</f>
        <v>46300</v>
      </c>
      <c r="T7" s="130" t="n">
        <f aca="false">IF(ISNUMBER($H7),$H7,S7)</f>
        <v>46311</v>
      </c>
      <c r="U7" s="131" t="n">
        <f aca="false">IF(ISNUMBER($A7),IF(Q7="Complete",1,N(INDEX('Scope Checklist'!$I:$I,$A7))),0)</f>
        <v>0</v>
      </c>
      <c r="V7" s="131" t="n">
        <f aca="false">IF(OR(NOT(ISNUMBER($A7)),S7=0),0,IF(Dashboard!$C$4&lt;S7,0,IF(Dashboard!$C$4&gt;=T7,1,NETWORKDAYS(S7,Dashboard!$C$4,$M$6:$M$11)/NETWORKDAYS(S7,T7,$M$6:$M$11))))</f>
        <v>0</v>
      </c>
      <c r="W7" s="129" t="n">
        <f aca="false">R7*U7</f>
        <v>0</v>
      </c>
      <c r="X7" s="129" t="n">
        <f aca="false">R7*V7</f>
        <v>0</v>
      </c>
      <c r="Y7" s="132" t="b">
        <f aca="false">AND(ISNUMBER($A7),ISNUMBER($I7),T7&gt;0,T7&lt;Dashboard!$C$4,U7&lt;1)</f>
        <v>0</v>
      </c>
      <c r="Z7" s="129" t="str">
        <f aca="false">IF(Y7,COUNTIF(Y$6:Y7,TRUE()),"")</f>
        <v/>
      </c>
      <c r="AA7" s="132" t="b">
        <f aca="false">AND(ISNUMBER($A7),ISNUMBER($I7),U7&lt;1,NOT(Y7),S7&gt;0,S7&lt;=WORKDAY(Dashboard!$C$4,10,$M$6:$M$11),T7&gt;=Dashboard!$C$4)</f>
        <v>1</v>
      </c>
      <c r="AB7" s="129" t="n">
        <f aca="false">IF(AA7,COUNTIF(AA$6:AA7,TRUE()),"")</f>
        <v>1</v>
      </c>
    </row>
    <row r="8" customFormat="false" ht="15" hidden="false" customHeight="false" outlineLevel="0" collapsed="false">
      <c r="A8" s="133" t="n">
        <v>16</v>
      </c>
      <c r="B8" s="134" t="n">
        <f aca="false">IF('Scope Checklist'!A16="","-",'Scope Checklist'!A16)</f>
        <v>9</v>
      </c>
      <c r="C8" s="135" t="str">
        <f aca="false">'Scope Checklist'!D16</f>
        <v>Obtain access to Online Portal</v>
      </c>
      <c r="D8" s="62" t="s">
        <v>619</v>
      </c>
      <c r="E8" s="136" t="n">
        <v>0</v>
      </c>
      <c r="F8" s="136" t="n">
        <v>2</v>
      </c>
      <c r="G8" s="64" t="n">
        <f aca="false">$C$3</f>
        <v>46300</v>
      </c>
      <c r="H8" s="64" t="n">
        <f aca="false">WORKDAY(G8,F8-1,$M$6:$M$11)</f>
        <v>46301</v>
      </c>
      <c r="I8" s="136" t="n">
        <v>2</v>
      </c>
      <c r="J8" s="133" t="s">
        <v>146</v>
      </c>
      <c r="K8" s="62" t="s">
        <v>644</v>
      </c>
      <c r="M8" s="128" t="n">
        <v>46353</v>
      </c>
      <c r="N8" s="51" t="s">
        <v>645</v>
      </c>
      <c r="P8" s="129" t="str">
        <f aca="false">IF(ISNUMBER($A8),INDEX('Scope Checklist'!$B:$B,$A8),"")</f>
        <v>Pre-Construction</v>
      </c>
      <c r="Q8" s="129" t="str">
        <f aca="false">IF(ISNUMBER($A8),INDEX('Scope Checklist'!$E:$E,$A8),"")</f>
        <v>Pending</v>
      </c>
      <c r="R8" s="129" t="n">
        <f aca="false">IF(AND(ISNUMBER($A8),ISNUMBER($I8),ISNUMBER($H8)),$I8,0)</f>
        <v>2</v>
      </c>
      <c r="S8" s="130" t="n">
        <f aca="false">IF(ISNUMBER($G8),$G8,0)</f>
        <v>46300</v>
      </c>
      <c r="T8" s="130" t="n">
        <f aca="false">IF(ISNUMBER($H8),$H8,S8)</f>
        <v>46301</v>
      </c>
      <c r="U8" s="131" t="n">
        <f aca="false">IF(ISNUMBER($A8),IF(Q8="Complete",1,N(INDEX('Scope Checklist'!$I:$I,$A8))),0)</f>
        <v>0</v>
      </c>
      <c r="V8" s="131" t="n">
        <f aca="false">IF(OR(NOT(ISNUMBER($A8)),S8=0),0,IF(Dashboard!$C$4&lt;S8,0,IF(Dashboard!$C$4&gt;=T8,1,NETWORKDAYS(S8,Dashboard!$C$4,$M$6:$M$11)/NETWORKDAYS(S8,T8,$M$6:$M$11))))</f>
        <v>0</v>
      </c>
      <c r="W8" s="129" t="n">
        <f aca="false">R8*U8</f>
        <v>0</v>
      </c>
      <c r="X8" s="129" t="n">
        <f aca="false">R8*V8</f>
        <v>0</v>
      </c>
      <c r="Y8" s="132" t="b">
        <f aca="false">AND(ISNUMBER($A8),ISNUMBER($I8),T8&gt;0,T8&lt;Dashboard!$C$4,U8&lt;1)</f>
        <v>0</v>
      </c>
      <c r="Z8" s="129" t="str">
        <f aca="false">IF(Y8,COUNTIF(Y$6:Y8,TRUE()),"")</f>
        <v/>
      </c>
      <c r="AA8" s="132" t="b">
        <f aca="false">AND(ISNUMBER($A8),ISNUMBER($I8),U8&lt;1,NOT(Y8),S8&gt;0,S8&lt;=WORKDAY(Dashboard!$C$4,10,$M$6:$M$11),T8&gt;=Dashboard!$C$4)</f>
        <v>1</v>
      </c>
      <c r="AB8" s="129" t="n">
        <f aca="false">IF(AA8,COUNTIF(AA$6:AA8,TRUE()),"")</f>
        <v>2</v>
      </c>
    </row>
    <row r="9" customFormat="false" ht="23.85" hidden="false" customHeight="false" outlineLevel="0" collapsed="false">
      <c r="A9" s="133" t="n">
        <v>7</v>
      </c>
      <c r="B9" s="134" t="n">
        <f aca="false">IF('Scope Checklist'!A7="","-",'Scope Checklist'!A7)</f>
        <v>1</v>
      </c>
      <c r="C9" s="135" t="str">
        <f aca="false">'Scope Checklist'!D7</f>
        <v>Architecture &amp; Engineering design and proposal</v>
      </c>
      <c r="D9" s="62" t="s">
        <v>646</v>
      </c>
      <c r="E9" s="136" t="n">
        <v>5</v>
      </c>
      <c r="F9" s="136" t="n">
        <v>15</v>
      </c>
      <c r="G9" s="64" t="n">
        <f aca="false">WORKDAY(G7,E9,$M$6:$M$11)</f>
        <v>46307</v>
      </c>
      <c r="H9" s="64" t="n">
        <f aca="false">WORKDAY(G9,F9-1,$M$6:$M$11)</f>
        <v>46325</v>
      </c>
      <c r="I9" s="136" t="n">
        <v>60</v>
      </c>
      <c r="J9" s="133" t="s">
        <v>191</v>
      </c>
      <c r="K9" s="62" t="s">
        <v>647</v>
      </c>
      <c r="M9" s="128" t="n">
        <v>46380</v>
      </c>
      <c r="N9" s="51" t="s">
        <v>648</v>
      </c>
      <c r="P9" s="129" t="str">
        <f aca="false">IF(ISNUMBER($A9),INDEX('Scope Checklist'!$B:$B,$A9),"")</f>
        <v>Pre-Construction</v>
      </c>
      <c r="Q9" s="129" t="str">
        <f aca="false">IF(ISNUMBER($A9),INDEX('Scope Checklist'!$E:$E,$A9),"")</f>
        <v>Pending</v>
      </c>
      <c r="R9" s="129" t="n">
        <f aca="false">IF(AND(ISNUMBER($A9),ISNUMBER($I9),ISNUMBER($H9)),$I9,0)</f>
        <v>60</v>
      </c>
      <c r="S9" s="130" t="n">
        <f aca="false">IF(ISNUMBER($G9),$G9,0)</f>
        <v>46307</v>
      </c>
      <c r="T9" s="130" t="n">
        <f aca="false">IF(ISNUMBER($H9),$H9,S9)</f>
        <v>46325</v>
      </c>
      <c r="U9" s="131" t="n">
        <f aca="false">IF(ISNUMBER($A9),IF(Q9="Complete",1,N(INDEX('Scope Checklist'!$I:$I,$A9))),0)</f>
        <v>0</v>
      </c>
      <c r="V9" s="131" t="n">
        <f aca="false">IF(OR(NOT(ISNUMBER($A9)),S9=0),0,IF(Dashboard!$C$4&lt;S9,0,IF(Dashboard!$C$4&gt;=T9,1,NETWORKDAYS(S9,Dashboard!$C$4,$M$6:$M$11)/NETWORKDAYS(S9,T9,$M$6:$M$11))))</f>
        <v>0</v>
      </c>
      <c r="W9" s="129" t="n">
        <f aca="false">R9*U9</f>
        <v>0</v>
      </c>
      <c r="X9" s="129" t="n">
        <f aca="false">R9*V9</f>
        <v>0</v>
      </c>
      <c r="Y9" s="132" t="b">
        <f aca="false">AND(ISNUMBER($A9),ISNUMBER($I9),T9&gt;0,T9&lt;Dashboard!$C$4,U9&lt;1)</f>
        <v>0</v>
      </c>
      <c r="Z9" s="129" t="str">
        <f aca="false">IF(Y9,COUNTIF(Y$6:Y9,TRUE()),"")</f>
        <v/>
      </c>
      <c r="AA9" s="132" t="b">
        <f aca="false">AND(ISNUMBER($A9),ISNUMBER($I9),U9&lt;1,NOT(Y9),S9&gt;0,S9&lt;=WORKDAY(Dashboard!$C$4,10,$M$6:$M$11),T9&gt;=Dashboard!$C$4)</f>
        <v>0</v>
      </c>
      <c r="AB9" s="129" t="str">
        <f aca="false">IF(AA9,COUNTIF(AA$6:AA9,TRUE()),"")</f>
        <v/>
      </c>
    </row>
    <row r="10" customFormat="false" ht="15" hidden="false" customHeight="false" outlineLevel="0" collapsed="false">
      <c r="A10" s="133" t="n">
        <v>9</v>
      </c>
      <c r="B10" s="134" t="n">
        <f aca="false">IF('Scope Checklist'!A9="","-",'Scope Checklist'!A9)</f>
        <v>3</v>
      </c>
      <c r="C10" s="135" t="str">
        <f aca="false">'Scope Checklist'!D9</f>
        <v>Architecture &amp; Engineering Approval</v>
      </c>
      <c r="D10" s="62" t="s">
        <v>649</v>
      </c>
      <c r="E10" s="136" t="n">
        <v>0</v>
      </c>
      <c r="F10" s="136" t="n">
        <v>5</v>
      </c>
      <c r="G10" s="64" t="n">
        <f aca="false">WORKDAY(H9,1+E10,$M$6:$M$11)</f>
        <v>46328</v>
      </c>
      <c r="H10" s="64" t="n">
        <f aca="false">WORKDAY(G10,F10-1,$M$6:$M$11)</f>
        <v>46332</v>
      </c>
      <c r="I10" s="136" t="n">
        <v>6</v>
      </c>
      <c r="J10" s="133" t="s">
        <v>146</v>
      </c>
      <c r="K10" s="62" t="s">
        <v>650</v>
      </c>
      <c r="M10" s="128" t="n">
        <v>46381</v>
      </c>
      <c r="N10" s="51" t="s">
        <v>651</v>
      </c>
      <c r="P10" s="129" t="str">
        <f aca="false">IF(ISNUMBER($A10),INDEX('Scope Checklist'!$B:$B,$A10),"")</f>
        <v>Pre-Construction</v>
      </c>
      <c r="Q10" s="129" t="str">
        <f aca="false">IF(ISNUMBER($A10),INDEX('Scope Checklist'!$E:$E,$A10),"")</f>
        <v>Pending</v>
      </c>
      <c r="R10" s="129" t="n">
        <f aca="false">IF(AND(ISNUMBER($A10),ISNUMBER($I10),ISNUMBER($H10)),$I10,0)</f>
        <v>6</v>
      </c>
      <c r="S10" s="130" t="n">
        <f aca="false">IF(ISNUMBER($G10),$G10,0)</f>
        <v>46328</v>
      </c>
      <c r="T10" s="130" t="n">
        <f aca="false">IF(ISNUMBER($H10),$H10,S10)</f>
        <v>46332</v>
      </c>
      <c r="U10" s="131" t="n">
        <f aca="false">IF(ISNUMBER($A10),IF(Q10="Complete",1,N(INDEX('Scope Checklist'!$I:$I,$A10))),0)</f>
        <v>0</v>
      </c>
      <c r="V10" s="131" t="n">
        <f aca="false">IF(OR(NOT(ISNUMBER($A10)),S10=0),0,IF(Dashboard!$C$4&lt;S10,0,IF(Dashboard!$C$4&gt;=T10,1,NETWORKDAYS(S10,Dashboard!$C$4,$M$6:$M$11)/NETWORKDAYS(S10,T10,$M$6:$M$11))))</f>
        <v>0</v>
      </c>
      <c r="W10" s="129" t="n">
        <f aca="false">R10*U10</f>
        <v>0</v>
      </c>
      <c r="X10" s="129" t="n">
        <f aca="false">R10*V10</f>
        <v>0</v>
      </c>
      <c r="Y10" s="132" t="b">
        <f aca="false">AND(ISNUMBER($A10),ISNUMBER($I10),T10&gt;0,T10&lt;Dashboard!$C$4,U10&lt;1)</f>
        <v>0</v>
      </c>
      <c r="Z10" s="129" t="str">
        <f aca="false">IF(Y10,COUNTIF(Y$6:Y10,TRUE()),"")</f>
        <v/>
      </c>
      <c r="AA10" s="132" t="b">
        <f aca="false">AND(ISNUMBER($A10),ISNUMBER($I10),U10&lt;1,NOT(Y10),S10&gt;0,S10&lt;=WORKDAY(Dashboard!$C$4,10,$M$6:$M$11),T10&gt;=Dashboard!$C$4)</f>
        <v>0</v>
      </c>
      <c r="AB10" s="129" t="str">
        <f aca="false">IF(AA10,COUNTIF(AA$6:AA10,TRUE()),"")</f>
        <v/>
      </c>
    </row>
    <row r="11" customFormat="false" ht="15" hidden="false" customHeight="false" outlineLevel="0" collapsed="false">
      <c r="A11" s="133" t="n">
        <v>10</v>
      </c>
      <c r="B11" s="134" t="str">
        <f aca="false">IF('Scope Checklist'!A10="","-",'Scope Checklist'!A10)</f>
        <v>-</v>
      </c>
      <c r="C11" s="135" t="str">
        <f aca="false">'Scope Checklist'!D10</f>
        <v>Select provides and assign budget</v>
      </c>
      <c r="D11" s="62" t="s">
        <v>652</v>
      </c>
      <c r="E11" s="136" t="n">
        <v>0</v>
      </c>
      <c r="F11" s="136" t="n">
        <v>15</v>
      </c>
      <c r="G11" s="64" t="n">
        <f aca="false">WORKDAY(H7,1+E11,$M$6:$M$11)</f>
        <v>46314</v>
      </c>
      <c r="H11" s="64" t="n">
        <f aca="false">WORKDAY(G11,F11-1,$M$6:$M$11)</f>
        <v>46332</v>
      </c>
      <c r="I11" s="136" t="n">
        <v>24</v>
      </c>
      <c r="J11" s="133" t="s">
        <v>146</v>
      </c>
      <c r="K11" s="62" t="s">
        <v>653</v>
      </c>
      <c r="M11" s="128" t="n">
        <v>46388</v>
      </c>
      <c r="N11" s="51" t="s">
        <v>654</v>
      </c>
      <c r="P11" s="129" t="str">
        <f aca="false">IF(ISNUMBER($A11),INDEX('Scope Checklist'!$B:$B,$A11),"")</f>
        <v>Pre-Construction</v>
      </c>
      <c r="Q11" s="129" t="str">
        <f aca="false">IF(ISNUMBER($A11),INDEX('Scope Checklist'!$E:$E,$A11),"")</f>
        <v>Pending</v>
      </c>
      <c r="R11" s="129" t="n">
        <f aca="false">IF(AND(ISNUMBER($A11),ISNUMBER($I11),ISNUMBER($H11)),$I11,0)</f>
        <v>24</v>
      </c>
      <c r="S11" s="130" t="n">
        <f aca="false">IF(ISNUMBER($G11),$G11,0)</f>
        <v>46314</v>
      </c>
      <c r="T11" s="130" t="n">
        <f aca="false">IF(ISNUMBER($H11),$H11,S11)</f>
        <v>46332</v>
      </c>
      <c r="U11" s="131" t="n">
        <f aca="false">IF(ISNUMBER($A11),IF(Q11="Complete",1,N(INDEX('Scope Checklist'!$I:$I,$A11))),0)</f>
        <v>0</v>
      </c>
      <c r="V11" s="131" t="n">
        <f aca="false">IF(OR(NOT(ISNUMBER($A11)),S11=0),0,IF(Dashboard!$C$4&lt;S11,0,IF(Dashboard!$C$4&gt;=T11,1,NETWORKDAYS(S11,Dashboard!$C$4,$M$6:$M$11)/NETWORKDAYS(S11,T11,$M$6:$M$11))))</f>
        <v>0</v>
      </c>
      <c r="W11" s="129" t="n">
        <f aca="false">R11*U11</f>
        <v>0</v>
      </c>
      <c r="X11" s="129" t="n">
        <f aca="false">R11*V11</f>
        <v>0</v>
      </c>
      <c r="Y11" s="132" t="b">
        <f aca="false">AND(ISNUMBER($A11),ISNUMBER($I11),T11&gt;0,T11&lt;Dashboard!$C$4,U11&lt;1)</f>
        <v>0</v>
      </c>
      <c r="Z11" s="129" t="str">
        <f aca="false">IF(Y11,COUNTIF(Y$6:Y11,TRUE()),"")</f>
        <v/>
      </c>
      <c r="AA11" s="132" t="b">
        <f aca="false">AND(ISNUMBER($A11),ISNUMBER($I11),U11&lt;1,NOT(Y11),S11&gt;0,S11&lt;=WORKDAY(Dashboard!$C$4,10,$M$6:$M$11),T11&gt;=Dashboard!$C$4)</f>
        <v>0</v>
      </c>
      <c r="AB11" s="129" t="str">
        <f aca="false">IF(AA11,COUNTIF(AA$6:AA11,TRUE()),"")</f>
        <v/>
      </c>
    </row>
    <row r="12" customFormat="false" ht="15" hidden="false" customHeight="false" outlineLevel="0" collapsed="false">
      <c r="A12" s="133" t="n">
        <v>12</v>
      </c>
      <c r="B12" s="134" t="n">
        <f aca="false">IF('Scope Checklist'!A12="","-",'Scope Checklist'!A12)</f>
        <v>5</v>
      </c>
      <c r="C12" s="135" t="str">
        <f aca="false">'Scope Checklist'!D12</f>
        <v>HOA / ARB approval - Garage Door</v>
      </c>
      <c r="D12" s="62" t="s">
        <v>652</v>
      </c>
      <c r="E12" s="136" t="n">
        <v>0</v>
      </c>
      <c r="F12" s="136" t="n">
        <v>15</v>
      </c>
      <c r="G12" s="64" t="n">
        <f aca="false">WORKDAY(H7,1+E12,$M$6:$M$11)</f>
        <v>46314</v>
      </c>
      <c r="H12" s="64" t="n">
        <f aca="false">WORKDAY(G12,F12-1,$M$6:$M$11)</f>
        <v>46332</v>
      </c>
      <c r="I12" s="136" t="n">
        <v>3</v>
      </c>
      <c r="J12" s="133" t="s">
        <v>146</v>
      </c>
      <c r="K12" s="62" t="s">
        <v>655</v>
      </c>
      <c r="P12" s="129" t="str">
        <f aca="false">IF(ISNUMBER($A12),INDEX('Scope Checklist'!$B:$B,$A12),"")</f>
        <v>Pre-Construction</v>
      </c>
      <c r="Q12" s="129" t="str">
        <f aca="false">IF(ISNUMBER($A12),INDEX('Scope Checklist'!$E:$E,$A12),"")</f>
        <v>Pending</v>
      </c>
      <c r="R12" s="129" t="n">
        <f aca="false">IF(AND(ISNUMBER($A12),ISNUMBER($I12),ISNUMBER($H12)),$I12,0)</f>
        <v>3</v>
      </c>
      <c r="S12" s="130" t="n">
        <f aca="false">IF(ISNUMBER($G12),$G12,0)</f>
        <v>46314</v>
      </c>
      <c r="T12" s="130" t="n">
        <f aca="false">IF(ISNUMBER($H12),$H12,S12)</f>
        <v>46332</v>
      </c>
      <c r="U12" s="131" t="n">
        <f aca="false">IF(ISNUMBER($A12),IF(Q12="Complete",1,N(INDEX('Scope Checklist'!$I:$I,$A12))),0)</f>
        <v>0</v>
      </c>
      <c r="V12" s="131" t="n">
        <f aca="false">IF(OR(NOT(ISNUMBER($A12)),S12=0),0,IF(Dashboard!$C$4&lt;S12,0,IF(Dashboard!$C$4&gt;=T12,1,NETWORKDAYS(S12,Dashboard!$C$4,$M$6:$M$11)/NETWORKDAYS(S12,T12,$M$6:$M$11))))</f>
        <v>0</v>
      </c>
      <c r="W12" s="129" t="n">
        <f aca="false">R12*U12</f>
        <v>0</v>
      </c>
      <c r="X12" s="129" t="n">
        <f aca="false">R12*V12</f>
        <v>0</v>
      </c>
      <c r="Y12" s="132" t="b">
        <f aca="false">AND(ISNUMBER($A12),ISNUMBER($I12),T12&gt;0,T12&lt;Dashboard!$C$4,U12&lt;1)</f>
        <v>0</v>
      </c>
      <c r="Z12" s="129" t="str">
        <f aca="false">IF(Y12,COUNTIF(Y$6:Y12,TRUE()),"")</f>
        <v/>
      </c>
      <c r="AA12" s="132" t="b">
        <f aca="false">AND(ISNUMBER($A12),ISNUMBER($I12),U12&lt;1,NOT(Y12),S12&gt;0,S12&lt;=WORKDAY(Dashboard!$C$4,10,$M$6:$M$11),T12&gt;=Dashboard!$C$4)</f>
        <v>0</v>
      </c>
      <c r="AB12" s="129" t="str">
        <f aca="false">IF(AA12,COUNTIF(AA$6:AA12,TRUE()),"")</f>
        <v/>
      </c>
    </row>
    <row r="13" customFormat="false" ht="15" hidden="false" customHeight="false" outlineLevel="0" collapsed="false">
      <c r="A13" s="133" t="n">
        <v>13</v>
      </c>
      <c r="B13" s="134" t="n">
        <f aca="false">IF('Scope Checklist'!A13="","-",'Scope Checklist'!A13)</f>
        <v>6</v>
      </c>
      <c r="C13" s="135" t="str">
        <f aca="false">'Scope Checklist'!D13</f>
        <v>HOA / ARB approval - exterior paint</v>
      </c>
      <c r="D13" s="62" t="s">
        <v>652</v>
      </c>
      <c r="E13" s="136" t="n">
        <v>0</v>
      </c>
      <c r="F13" s="136" t="n">
        <v>15</v>
      </c>
      <c r="G13" s="64" t="n">
        <f aca="false">WORKDAY(H7,1+E13,$M$6:$M$11)</f>
        <v>46314</v>
      </c>
      <c r="H13" s="64" t="n">
        <f aca="false">WORKDAY(G13,F13-1,$M$6:$M$11)</f>
        <v>46332</v>
      </c>
      <c r="I13" s="136" t="n">
        <v>3</v>
      </c>
      <c r="J13" s="133" t="s">
        <v>146</v>
      </c>
      <c r="K13" s="62" t="s">
        <v>656</v>
      </c>
      <c r="P13" s="129" t="str">
        <f aca="false">IF(ISNUMBER($A13),INDEX('Scope Checklist'!$B:$B,$A13),"")</f>
        <v>Pre-Construction</v>
      </c>
      <c r="Q13" s="129" t="str">
        <f aca="false">IF(ISNUMBER($A13),INDEX('Scope Checklist'!$E:$E,$A13),"")</f>
        <v>Pending</v>
      </c>
      <c r="R13" s="129" t="n">
        <f aca="false">IF(AND(ISNUMBER($A13),ISNUMBER($I13),ISNUMBER($H13)),$I13,0)</f>
        <v>3</v>
      </c>
      <c r="S13" s="130" t="n">
        <f aca="false">IF(ISNUMBER($G13),$G13,0)</f>
        <v>46314</v>
      </c>
      <c r="T13" s="130" t="n">
        <f aca="false">IF(ISNUMBER($H13),$H13,S13)</f>
        <v>46332</v>
      </c>
      <c r="U13" s="131" t="n">
        <f aca="false">IF(ISNUMBER($A13),IF(Q13="Complete",1,N(INDEX('Scope Checklist'!$I:$I,$A13))),0)</f>
        <v>0</v>
      </c>
      <c r="V13" s="131" t="n">
        <f aca="false">IF(OR(NOT(ISNUMBER($A13)),S13=0),0,IF(Dashboard!$C$4&lt;S13,0,IF(Dashboard!$C$4&gt;=T13,1,NETWORKDAYS(S13,Dashboard!$C$4,$M$6:$M$11)/NETWORKDAYS(S13,T13,$M$6:$M$11))))</f>
        <v>0</v>
      </c>
      <c r="W13" s="129" t="n">
        <f aca="false">R13*U13</f>
        <v>0</v>
      </c>
      <c r="X13" s="129" t="n">
        <f aca="false">R13*V13</f>
        <v>0</v>
      </c>
      <c r="Y13" s="132" t="b">
        <f aca="false">AND(ISNUMBER($A13),ISNUMBER($I13),T13&gt;0,T13&lt;Dashboard!$C$4,U13&lt;1)</f>
        <v>0</v>
      </c>
      <c r="Z13" s="129" t="str">
        <f aca="false">IF(Y13,COUNTIF(Y$6:Y13,TRUE()),"")</f>
        <v/>
      </c>
      <c r="AA13" s="132" t="b">
        <f aca="false">AND(ISNUMBER($A13),ISNUMBER($I13),U13&lt;1,NOT(Y13),S13&gt;0,S13&lt;=WORKDAY(Dashboard!$C$4,10,$M$6:$M$11),T13&gt;=Dashboard!$C$4)</f>
        <v>0</v>
      </c>
      <c r="AB13" s="129" t="str">
        <f aca="false">IF(AA13,COUNTIF(AA$6:AA13,TRUE()),"")</f>
        <v/>
      </c>
    </row>
    <row r="14" customFormat="false" ht="15" hidden="false" customHeight="false" outlineLevel="0" collapsed="false">
      <c r="A14" s="133" t="n">
        <v>14</v>
      </c>
      <c r="B14" s="134" t="n">
        <f aca="false">IF('Scope Checklist'!A14="","-",'Scope Checklist'!A14)</f>
        <v>7</v>
      </c>
      <c r="C14" s="135" t="str">
        <f aca="false">'Scope Checklist'!D14</f>
        <v>HOA / ARB approval - driveway</v>
      </c>
      <c r="D14" s="62" t="s">
        <v>652</v>
      </c>
      <c r="E14" s="136" t="n">
        <v>0</v>
      </c>
      <c r="F14" s="136" t="n">
        <v>15</v>
      </c>
      <c r="G14" s="64" t="n">
        <f aca="false">WORKDAY(H7,1+E14,$M$6:$M$11)</f>
        <v>46314</v>
      </c>
      <c r="H14" s="64" t="n">
        <f aca="false">WORKDAY(G14,F14-1,$M$6:$M$11)</f>
        <v>46332</v>
      </c>
      <c r="I14" s="136" t="n">
        <v>3</v>
      </c>
      <c r="J14" s="133" t="s">
        <v>146</v>
      </c>
      <c r="K14" s="62" t="s">
        <v>657</v>
      </c>
      <c r="P14" s="129" t="str">
        <f aca="false">IF(ISNUMBER($A14),INDEX('Scope Checklist'!$B:$B,$A14),"")</f>
        <v>Pre-Construction</v>
      </c>
      <c r="Q14" s="129" t="str">
        <f aca="false">IF(ISNUMBER($A14),INDEX('Scope Checklist'!$E:$E,$A14),"")</f>
        <v>Pending</v>
      </c>
      <c r="R14" s="129" t="n">
        <f aca="false">IF(AND(ISNUMBER($A14),ISNUMBER($I14),ISNUMBER($H14)),$I14,0)</f>
        <v>3</v>
      </c>
      <c r="S14" s="130" t="n">
        <f aca="false">IF(ISNUMBER($G14),$G14,0)</f>
        <v>46314</v>
      </c>
      <c r="T14" s="130" t="n">
        <f aca="false">IF(ISNUMBER($H14),$H14,S14)</f>
        <v>46332</v>
      </c>
      <c r="U14" s="131" t="n">
        <f aca="false">IF(ISNUMBER($A14),IF(Q14="Complete",1,N(INDEX('Scope Checklist'!$I:$I,$A14))),0)</f>
        <v>0</v>
      </c>
      <c r="V14" s="131" t="n">
        <f aca="false">IF(OR(NOT(ISNUMBER($A14)),S14=0),0,IF(Dashboard!$C$4&lt;S14,0,IF(Dashboard!$C$4&gt;=T14,1,NETWORKDAYS(S14,Dashboard!$C$4,$M$6:$M$11)/NETWORKDAYS(S14,T14,$M$6:$M$11))))</f>
        <v>0</v>
      </c>
      <c r="W14" s="129" t="n">
        <f aca="false">R14*U14</f>
        <v>0</v>
      </c>
      <c r="X14" s="129" t="n">
        <f aca="false">R14*V14</f>
        <v>0</v>
      </c>
      <c r="Y14" s="132" t="b">
        <f aca="false">AND(ISNUMBER($A14),ISNUMBER($I14),T14&gt;0,T14&lt;Dashboard!$C$4,U14&lt;1)</f>
        <v>0</v>
      </c>
      <c r="Z14" s="129" t="str">
        <f aca="false">IF(Y14,COUNTIF(Y$6:Y14,TRUE()),"")</f>
        <v/>
      </c>
      <c r="AA14" s="132" t="b">
        <f aca="false">AND(ISNUMBER($A14),ISNUMBER($I14),U14&lt;1,NOT(Y14),S14&gt;0,S14&lt;=WORKDAY(Dashboard!$C$4,10,$M$6:$M$11),T14&gt;=Dashboard!$C$4)</f>
        <v>0</v>
      </c>
      <c r="AB14" s="129" t="str">
        <f aca="false">IF(AA14,COUNTIF(AA$6:AA14,TRUE()),"")</f>
        <v/>
      </c>
    </row>
    <row r="15" customFormat="false" ht="15" hidden="false" customHeight="false" outlineLevel="0" collapsed="false">
      <c r="A15" s="133" t="n">
        <v>15</v>
      </c>
      <c r="B15" s="134" t="n">
        <f aca="false">IF('Scope Checklist'!A15="","-",'Scope Checklist'!A15)</f>
        <v>8</v>
      </c>
      <c r="C15" s="135" t="str">
        <f aca="false">'Scope Checklist'!D15</f>
        <v>HOA / ARB approval - Landscaping</v>
      </c>
      <c r="D15" s="62" t="s">
        <v>652</v>
      </c>
      <c r="E15" s="136" t="n">
        <v>0</v>
      </c>
      <c r="F15" s="136" t="n">
        <v>15</v>
      </c>
      <c r="G15" s="64" t="n">
        <f aca="false">WORKDAY(H7,1+E15,$M$6:$M$11)</f>
        <v>46314</v>
      </c>
      <c r="H15" s="64" t="n">
        <f aca="false">WORKDAY(G15,F15-1,$M$6:$M$11)</f>
        <v>46332</v>
      </c>
      <c r="I15" s="136" t="n">
        <v>3</v>
      </c>
      <c r="J15" s="133" t="s">
        <v>146</v>
      </c>
      <c r="K15" s="62" t="s">
        <v>658</v>
      </c>
      <c r="P15" s="129" t="str">
        <f aca="false">IF(ISNUMBER($A15),INDEX('Scope Checklist'!$B:$B,$A15),"")</f>
        <v>Pre-Construction</v>
      </c>
      <c r="Q15" s="129" t="str">
        <f aca="false">IF(ISNUMBER($A15),INDEX('Scope Checklist'!$E:$E,$A15),"")</f>
        <v>Pending</v>
      </c>
      <c r="R15" s="129" t="n">
        <f aca="false">IF(AND(ISNUMBER($A15),ISNUMBER($I15),ISNUMBER($H15)),$I15,0)</f>
        <v>3</v>
      </c>
      <c r="S15" s="130" t="n">
        <f aca="false">IF(ISNUMBER($G15),$G15,0)</f>
        <v>46314</v>
      </c>
      <c r="T15" s="130" t="n">
        <f aca="false">IF(ISNUMBER($H15),$H15,S15)</f>
        <v>46332</v>
      </c>
      <c r="U15" s="131" t="n">
        <f aca="false">IF(ISNUMBER($A15),IF(Q15="Complete",1,N(INDEX('Scope Checklist'!$I:$I,$A15))),0)</f>
        <v>0</v>
      </c>
      <c r="V15" s="131" t="n">
        <f aca="false">IF(OR(NOT(ISNUMBER($A15)),S15=0),0,IF(Dashboard!$C$4&lt;S15,0,IF(Dashboard!$C$4&gt;=T15,1,NETWORKDAYS(S15,Dashboard!$C$4,$M$6:$M$11)/NETWORKDAYS(S15,T15,$M$6:$M$11))))</f>
        <v>0</v>
      </c>
      <c r="W15" s="129" t="n">
        <f aca="false">R15*U15</f>
        <v>0</v>
      </c>
      <c r="X15" s="129" t="n">
        <f aca="false">R15*V15</f>
        <v>0</v>
      </c>
      <c r="Y15" s="132" t="b">
        <f aca="false">AND(ISNUMBER($A15),ISNUMBER($I15),T15&gt;0,T15&lt;Dashboard!$C$4,U15&lt;1)</f>
        <v>0</v>
      </c>
      <c r="Z15" s="129" t="str">
        <f aca="false">IF(Y15,COUNTIF(Y$6:Y15,TRUE()),"")</f>
        <v/>
      </c>
      <c r="AA15" s="132" t="b">
        <f aca="false">AND(ISNUMBER($A15),ISNUMBER($I15),U15&lt;1,NOT(Y15),S15&gt;0,S15&lt;=WORKDAY(Dashboard!$C$4,10,$M$6:$M$11),T15&gt;=Dashboard!$C$4)</f>
        <v>0</v>
      </c>
      <c r="AB15" s="129" t="str">
        <f aca="false">IF(AA15,COUNTIF(AA$6:AA15,TRUE()),"")</f>
        <v/>
      </c>
    </row>
    <row r="16" customFormat="false" ht="15" hidden="false" customHeight="false" outlineLevel="0" collapsed="false">
      <c r="A16" s="133" t="n">
        <v>17</v>
      </c>
      <c r="B16" s="134" t="n">
        <f aca="false">IF('Scope Checklist'!A17="","-",'Scope Checklist'!A17)</f>
        <v>10</v>
      </c>
      <c r="C16" s="135" t="str">
        <f aca="false">'Scope Checklist'!D17</f>
        <v>Certificate of insurance per trade per jurisdiction</v>
      </c>
      <c r="D16" s="62" t="s">
        <v>659</v>
      </c>
      <c r="E16" s="136" t="n">
        <v>5</v>
      </c>
      <c r="F16" s="136" t="n">
        <v>10</v>
      </c>
      <c r="G16" s="64" t="n">
        <f aca="false">WORKDAY(G11,E16,$M$6:$M$11)</f>
        <v>46321</v>
      </c>
      <c r="H16" s="64" t="n">
        <f aca="false">WORKDAY(G16,F16-1,$M$6:$M$11)</f>
        <v>46332</v>
      </c>
      <c r="I16" s="136" t="n">
        <v>6</v>
      </c>
      <c r="J16" s="133" t="s">
        <v>146</v>
      </c>
      <c r="K16" s="62" t="s">
        <v>660</v>
      </c>
      <c r="P16" s="129" t="str">
        <f aca="false">IF(ISNUMBER($A16),INDEX('Scope Checklist'!$B:$B,$A16),"")</f>
        <v>Pre-Construction</v>
      </c>
      <c r="Q16" s="129" t="str">
        <f aca="false">IF(ISNUMBER($A16),INDEX('Scope Checklist'!$E:$E,$A16),"")</f>
        <v>Pending</v>
      </c>
      <c r="R16" s="129" t="n">
        <f aca="false">IF(AND(ISNUMBER($A16),ISNUMBER($I16),ISNUMBER($H16)),$I16,0)</f>
        <v>6</v>
      </c>
      <c r="S16" s="130" t="n">
        <f aca="false">IF(ISNUMBER($G16),$G16,0)</f>
        <v>46321</v>
      </c>
      <c r="T16" s="130" t="n">
        <f aca="false">IF(ISNUMBER($H16),$H16,S16)</f>
        <v>46332</v>
      </c>
      <c r="U16" s="131" t="n">
        <f aca="false">IF(ISNUMBER($A16),IF(Q16="Complete",1,N(INDEX('Scope Checklist'!$I:$I,$A16))),0)</f>
        <v>0</v>
      </c>
      <c r="V16" s="131" t="n">
        <f aca="false">IF(OR(NOT(ISNUMBER($A16)),S16=0),0,IF(Dashboard!$C$4&lt;S16,0,IF(Dashboard!$C$4&gt;=T16,1,NETWORKDAYS(S16,Dashboard!$C$4,$M$6:$M$11)/NETWORKDAYS(S16,T16,$M$6:$M$11))))</f>
        <v>0</v>
      </c>
      <c r="W16" s="129" t="n">
        <f aca="false">R16*U16</f>
        <v>0</v>
      </c>
      <c r="X16" s="129" t="n">
        <f aca="false">R16*V16</f>
        <v>0</v>
      </c>
      <c r="Y16" s="132" t="b">
        <f aca="false">AND(ISNUMBER($A16),ISNUMBER($I16),T16&gt;0,T16&lt;Dashboard!$C$4,U16&lt;1)</f>
        <v>0</v>
      </c>
      <c r="Z16" s="129" t="str">
        <f aca="false">IF(Y16,COUNTIF(Y$6:Y16,TRUE()),"")</f>
        <v/>
      </c>
      <c r="AA16" s="132" t="b">
        <f aca="false">AND(ISNUMBER($A16),ISNUMBER($I16),U16&lt;1,NOT(Y16),S16&gt;0,S16&lt;=WORKDAY(Dashboard!$C$4,10,$M$6:$M$11),T16&gt;=Dashboard!$C$4)</f>
        <v>0</v>
      </c>
      <c r="AB16" s="129" t="str">
        <f aca="false">IF(AA16,COUNTIF(AA$6:AA16,TRUE()),"")</f>
        <v/>
      </c>
    </row>
    <row r="17" customFormat="false" ht="15" hidden="false" customHeight="false" outlineLevel="0" collapsed="false">
      <c r="A17" s="133" t="n">
        <v>18</v>
      </c>
      <c r="B17" s="134" t="n">
        <f aca="false">IF('Scope Checklist'!A18="","-",'Scope Checklist'!A18)</f>
        <v>11</v>
      </c>
      <c r="C17" s="135" t="str">
        <f aca="false">'Scope Checklist'!D18</f>
        <v>Workers compensation per trade</v>
      </c>
      <c r="D17" s="62" t="s">
        <v>659</v>
      </c>
      <c r="E17" s="136" t="n">
        <v>5</v>
      </c>
      <c r="F17" s="136" t="n">
        <v>10</v>
      </c>
      <c r="G17" s="64" t="n">
        <f aca="false">WORKDAY(G11,E17,$M$6:$M$11)</f>
        <v>46321</v>
      </c>
      <c r="H17" s="64" t="n">
        <f aca="false">WORKDAY(G17,F17-1,$M$6:$M$11)</f>
        <v>46332</v>
      </c>
      <c r="I17" s="136" t="n">
        <v>4</v>
      </c>
      <c r="J17" s="133" t="s">
        <v>146</v>
      </c>
      <c r="K17" s="62" t="s">
        <v>661</v>
      </c>
      <c r="P17" s="129" t="str">
        <f aca="false">IF(ISNUMBER($A17),INDEX('Scope Checklist'!$B:$B,$A17),"")</f>
        <v>Pre-Construction</v>
      </c>
      <c r="Q17" s="129" t="str">
        <f aca="false">IF(ISNUMBER($A17),INDEX('Scope Checklist'!$E:$E,$A17),"")</f>
        <v>Pending</v>
      </c>
      <c r="R17" s="129" t="n">
        <f aca="false">IF(AND(ISNUMBER($A17),ISNUMBER($I17),ISNUMBER($H17)),$I17,0)</f>
        <v>4</v>
      </c>
      <c r="S17" s="130" t="n">
        <f aca="false">IF(ISNUMBER($G17),$G17,0)</f>
        <v>46321</v>
      </c>
      <c r="T17" s="130" t="n">
        <f aca="false">IF(ISNUMBER($H17),$H17,S17)</f>
        <v>46332</v>
      </c>
      <c r="U17" s="131" t="n">
        <f aca="false">IF(ISNUMBER($A17),IF(Q17="Complete",1,N(INDEX('Scope Checklist'!$I:$I,$A17))),0)</f>
        <v>0</v>
      </c>
      <c r="V17" s="131" t="n">
        <f aca="false">IF(OR(NOT(ISNUMBER($A17)),S17=0),0,IF(Dashboard!$C$4&lt;S17,0,IF(Dashboard!$C$4&gt;=T17,1,NETWORKDAYS(S17,Dashboard!$C$4,$M$6:$M$11)/NETWORKDAYS(S17,T17,$M$6:$M$11))))</f>
        <v>0</v>
      </c>
      <c r="W17" s="129" t="n">
        <f aca="false">R17*U17</f>
        <v>0</v>
      </c>
      <c r="X17" s="129" t="n">
        <f aca="false">R17*V17</f>
        <v>0</v>
      </c>
      <c r="Y17" s="132" t="b">
        <f aca="false">AND(ISNUMBER($A17),ISNUMBER($I17),T17&gt;0,T17&lt;Dashboard!$C$4,U17&lt;1)</f>
        <v>0</v>
      </c>
      <c r="Z17" s="129" t="str">
        <f aca="false">IF(Y17,COUNTIF(Y$6:Y17,TRUE()),"")</f>
        <v/>
      </c>
      <c r="AA17" s="132" t="b">
        <f aca="false">AND(ISNUMBER($A17),ISNUMBER($I17),U17&lt;1,NOT(Y17),S17&gt;0,S17&lt;=WORKDAY(Dashboard!$C$4,10,$M$6:$M$11),T17&gt;=Dashboard!$C$4)</f>
        <v>0</v>
      </c>
      <c r="AB17" s="129" t="str">
        <f aca="false">IF(AA17,COUNTIF(AA$6:AA17,TRUE()),"")</f>
        <v/>
      </c>
    </row>
    <row r="18" customFormat="false" ht="15" hidden="false" customHeight="false" outlineLevel="0" collapsed="false">
      <c r="A18" s="133" t="n">
        <v>19</v>
      </c>
      <c r="B18" s="134" t="n">
        <f aca="false">IF('Scope Checklist'!A19="","-",'Scope Checklist'!A19)</f>
        <v>12</v>
      </c>
      <c r="C18" s="135" t="str">
        <f aca="false">'Scope Checklist'!D19</f>
        <v>DBPR license per trade</v>
      </c>
      <c r="D18" s="62" t="s">
        <v>659</v>
      </c>
      <c r="E18" s="136" t="n">
        <v>5</v>
      </c>
      <c r="F18" s="136" t="n">
        <v>10</v>
      </c>
      <c r="G18" s="64" t="n">
        <f aca="false">WORKDAY(G11,E18,$M$6:$M$11)</f>
        <v>46321</v>
      </c>
      <c r="H18" s="64" t="n">
        <f aca="false">WORKDAY(G18,F18-1,$M$6:$M$11)</f>
        <v>46332</v>
      </c>
      <c r="I18" s="136" t="n">
        <v>3</v>
      </c>
      <c r="J18" s="133" t="s">
        <v>146</v>
      </c>
      <c r="K18" s="62" t="s">
        <v>662</v>
      </c>
      <c r="P18" s="129" t="str">
        <f aca="false">IF(ISNUMBER($A18),INDEX('Scope Checklist'!$B:$B,$A18),"")</f>
        <v>Pre-Construction</v>
      </c>
      <c r="Q18" s="129" t="str">
        <f aca="false">IF(ISNUMBER($A18),INDEX('Scope Checklist'!$E:$E,$A18),"")</f>
        <v>Pending</v>
      </c>
      <c r="R18" s="129" t="n">
        <f aca="false">IF(AND(ISNUMBER($A18),ISNUMBER($I18),ISNUMBER($H18)),$I18,0)</f>
        <v>3</v>
      </c>
      <c r="S18" s="130" t="n">
        <f aca="false">IF(ISNUMBER($G18),$G18,0)</f>
        <v>46321</v>
      </c>
      <c r="T18" s="130" t="n">
        <f aca="false">IF(ISNUMBER($H18),$H18,S18)</f>
        <v>46332</v>
      </c>
      <c r="U18" s="131" t="n">
        <f aca="false">IF(ISNUMBER($A18),IF(Q18="Complete",1,N(INDEX('Scope Checklist'!$I:$I,$A18))),0)</f>
        <v>0</v>
      </c>
      <c r="V18" s="131" t="n">
        <f aca="false">IF(OR(NOT(ISNUMBER($A18)),S18=0),0,IF(Dashboard!$C$4&lt;S18,0,IF(Dashboard!$C$4&gt;=T18,1,NETWORKDAYS(S18,Dashboard!$C$4,$M$6:$M$11)/NETWORKDAYS(S18,T18,$M$6:$M$11))))</f>
        <v>0</v>
      </c>
      <c r="W18" s="129" t="n">
        <f aca="false">R18*U18</f>
        <v>0</v>
      </c>
      <c r="X18" s="129" t="n">
        <f aca="false">R18*V18</f>
        <v>0</v>
      </c>
      <c r="Y18" s="132" t="b">
        <f aca="false">AND(ISNUMBER($A18),ISNUMBER($I18),T18&gt;0,T18&lt;Dashboard!$C$4,U18&lt;1)</f>
        <v>0</v>
      </c>
      <c r="Z18" s="129" t="str">
        <f aca="false">IF(Y18,COUNTIF(Y$6:Y18,TRUE()),"")</f>
        <v/>
      </c>
      <c r="AA18" s="132" t="b">
        <f aca="false">AND(ISNUMBER($A18),ISNUMBER($I18),U18&lt;1,NOT(Y18),S18&gt;0,S18&lt;=WORKDAY(Dashboard!$C$4,10,$M$6:$M$11),T18&gt;=Dashboard!$C$4)</f>
        <v>0</v>
      </c>
      <c r="AB18" s="129" t="str">
        <f aca="false">IF(AA18,COUNTIF(AA$6:AA18,TRUE()),"")</f>
        <v/>
      </c>
    </row>
    <row r="19" customFormat="false" ht="15" hidden="false" customHeight="false" outlineLevel="0" collapsed="false">
      <c r="A19" s="133" t="n">
        <v>21</v>
      </c>
      <c r="B19" s="134" t="n">
        <f aca="false">IF('Scope Checklist'!A21="","-",'Scope Checklist'!A21)</f>
        <v>14</v>
      </c>
      <c r="C19" s="135" t="str">
        <f aca="false">'Scope Checklist'!D21</f>
        <v>Permits package submittal</v>
      </c>
      <c r="D19" s="62" t="s">
        <v>663</v>
      </c>
      <c r="E19" s="136" t="n">
        <v>0</v>
      </c>
      <c r="F19" s="136" t="n">
        <v>3</v>
      </c>
      <c r="G19" s="64" t="n">
        <f aca="false">WORKDAY(MAX(H10,H8,H16),1+E19,$M$6:$M$11)</f>
        <v>46335</v>
      </c>
      <c r="H19" s="64" t="n">
        <f aca="false">WORKDAY(G19,F19-1,$M$6:$M$11)</f>
        <v>46338</v>
      </c>
      <c r="I19" s="136" t="n">
        <v>12</v>
      </c>
      <c r="J19" s="133" t="s">
        <v>146</v>
      </c>
      <c r="K19" s="62" t="s">
        <v>664</v>
      </c>
      <c r="P19" s="129" t="str">
        <f aca="false">IF(ISNUMBER($A19),INDEX('Scope Checklist'!$B:$B,$A19),"")</f>
        <v>Pre-Construction</v>
      </c>
      <c r="Q19" s="129" t="str">
        <f aca="false">IF(ISNUMBER($A19),INDEX('Scope Checklist'!$E:$E,$A19),"")</f>
        <v>Pending</v>
      </c>
      <c r="R19" s="129" t="n">
        <f aca="false">IF(AND(ISNUMBER($A19),ISNUMBER($I19),ISNUMBER($H19)),$I19,0)</f>
        <v>12</v>
      </c>
      <c r="S19" s="130" t="n">
        <f aca="false">IF(ISNUMBER($G19),$G19,0)</f>
        <v>46335</v>
      </c>
      <c r="T19" s="130" t="n">
        <f aca="false">IF(ISNUMBER($H19),$H19,S19)</f>
        <v>46338</v>
      </c>
      <c r="U19" s="131" t="n">
        <f aca="false">IF(ISNUMBER($A19),IF(Q19="Complete",1,N(INDEX('Scope Checklist'!$I:$I,$A19))),0)</f>
        <v>0</v>
      </c>
      <c r="V19" s="131" t="n">
        <f aca="false">IF(OR(NOT(ISNUMBER($A19)),S19=0),0,IF(Dashboard!$C$4&lt;S19,0,IF(Dashboard!$C$4&gt;=T19,1,NETWORKDAYS(S19,Dashboard!$C$4,$M$6:$M$11)/NETWORKDAYS(S19,T19,$M$6:$M$11))))</f>
        <v>0</v>
      </c>
      <c r="W19" s="129" t="n">
        <f aca="false">R19*U19</f>
        <v>0</v>
      </c>
      <c r="X19" s="129" t="n">
        <f aca="false">R19*V19</f>
        <v>0</v>
      </c>
      <c r="Y19" s="132" t="b">
        <f aca="false">AND(ISNUMBER($A19),ISNUMBER($I19),T19&gt;0,T19&lt;Dashboard!$C$4,U19&lt;1)</f>
        <v>0</v>
      </c>
      <c r="Z19" s="129" t="str">
        <f aca="false">IF(Y19,COUNTIF(Y$6:Y19,TRUE()),"")</f>
        <v/>
      </c>
      <c r="AA19" s="132" t="b">
        <f aca="false">AND(ISNUMBER($A19),ISNUMBER($I19),U19&lt;1,NOT(Y19),S19&gt;0,S19&lt;=WORKDAY(Dashboard!$C$4,10,$M$6:$M$11),T19&gt;=Dashboard!$C$4)</f>
        <v>0</v>
      </c>
      <c r="AB19" s="129" t="str">
        <f aca="false">IF(AA19,COUNTIF(AA$6:AA19,TRUE()),"")</f>
        <v/>
      </c>
    </row>
    <row r="20" customFormat="false" ht="15" hidden="false" customHeight="false" outlineLevel="0" collapsed="false">
      <c r="A20" s="133" t="n">
        <v>20</v>
      </c>
      <c r="B20" s="134" t="n">
        <f aca="false">IF('Scope Checklist'!A20="","-",'Scope Checklist'!A20)</f>
        <v>13</v>
      </c>
      <c r="C20" s="135" t="str">
        <f aca="false">'Scope Checklist'!D20</f>
        <v>Notice of Commencement (NOC)</v>
      </c>
      <c r="D20" s="62" t="s">
        <v>665</v>
      </c>
      <c r="E20" s="136" t="n">
        <v>0</v>
      </c>
      <c r="F20" s="136" t="n">
        <v>3</v>
      </c>
      <c r="G20" s="64" t="n">
        <f aca="false">WORKDAY(H19,1+E20,$M$6:$M$11)</f>
        <v>46339</v>
      </c>
      <c r="H20" s="64" t="n">
        <f aca="false">WORKDAY(G20,F20-1,$M$6:$M$11)</f>
        <v>46343</v>
      </c>
      <c r="I20" s="136" t="n">
        <v>4</v>
      </c>
      <c r="J20" s="133" t="s">
        <v>146</v>
      </c>
      <c r="K20" s="62" t="s">
        <v>666</v>
      </c>
      <c r="P20" s="129" t="str">
        <f aca="false">IF(ISNUMBER($A20),INDEX('Scope Checklist'!$B:$B,$A20),"")</f>
        <v>Pre-Construction</v>
      </c>
      <c r="Q20" s="129" t="str">
        <f aca="false">IF(ISNUMBER($A20),INDEX('Scope Checklist'!$E:$E,$A20),"")</f>
        <v>Pending</v>
      </c>
      <c r="R20" s="129" t="n">
        <f aca="false">IF(AND(ISNUMBER($A20),ISNUMBER($I20),ISNUMBER($H20)),$I20,0)</f>
        <v>4</v>
      </c>
      <c r="S20" s="130" t="n">
        <f aca="false">IF(ISNUMBER($G20),$G20,0)</f>
        <v>46339</v>
      </c>
      <c r="T20" s="130" t="n">
        <f aca="false">IF(ISNUMBER($H20),$H20,S20)</f>
        <v>46343</v>
      </c>
      <c r="U20" s="131" t="n">
        <f aca="false">IF(ISNUMBER($A20),IF(Q20="Complete",1,N(INDEX('Scope Checklist'!$I:$I,$A20))),0)</f>
        <v>0</v>
      </c>
      <c r="V20" s="131" t="n">
        <f aca="false">IF(OR(NOT(ISNUMBER($A20)),S20=0),0,IF(Dashboard!$C$4&lt;S20,0,IF(Dashboard!$C$4&gt;=T20,1,NETWORKDAYS(S20,Dashboard!$C$4,$M$6:$M$11)/NETWORKDAYS(S20,T20,$M$6:$M$11))))</f>
        <v>0</v>
      </c>
      <c r="W20" s="129" t="n">
        <f aca="false">R20*U20</f>
        <v>0</v>
      </c>
      <c r="X20" s="129" t="n">
        <f aca="false">R20*V20</f>
        <v>0</v>
      </c>
      <c r="Y20" s="132" t="b">
        <f aca="false">AND(ISNUMBER($A20),ISNUMBER($I20),T20&gt;0,T20&lt;Dashboard!$C$4,U20&lt;1)</f>
        <v>0</v>
      </c>
      <c r="Z20" s="129" t="str">
        <f aca="false">IF(Y20,COUNTIF(Y$6:Y20,TRUE()),"")</f>
        <v/>
      </c>
      <c r="AA20" s="132" t="b">
        <f aca="false">AND(ISNUMBER($A20),ISNUMBER($I20),U20&lt;1,NOT(Y20),S20&gt;0,S20&lt;=WORKDAY(Dashboard!$C$4,10,$M$6:$M$11),T20&gt;=Dashboard!$C$4)</f>
        <v>0</v>
      </c>
      <c r="AB20" s="129" t="str">
        <f aca="false">IF(AA20,COUNTIF(AA$6:AA20,TRUE()),"")</f>
        <v/>
      </c>
    </row>
    <row r="21" customFormat="false" ht="15" hidden="false" customHeight="false" outlineLevel="0" collapsed="false">
      <c r="A21" s="133" t="n">
        <v>22</v>
      </c>
      <c r="B21" s="134" t="n">
        <f aca="false">IF('Scope Checklist'!A22="","-",'Scope Checklist'!A22)</f>
        <v>15</v>
      </c>
      <c r="C21" s="135" t="str">
        <f aca="false">'Scope Checklist'!D22</f>
        <v>GC master permit - Residential alterations and additions</v>
      </c>
      <c r="D21" s="62" t="s">
        <v>665</v>
      </c>
      <c r="E21" s="136" t="n">
        <v>0</v>
      </c>
      <c r="F21" s="136" t="n">
        <v>20</v>
      </c>
      <c r="G21" s="64" t="n">
        <f aca="false">WORKDAY(H19,1+E21,$M$6:$M$11)</f>
        <v>46339</v>
      </c>
      <c r="H21" s="64" t="n">
        <f aca="false">WORKDAY(G21,F21-1,$M$6:$M$11)</f>
        <v>46370</v>
      </c>
      <c r="I21" s="136" t="n">
        <v>8</v>
      </c>
      <c r="J21" s="133" t="s">
        <v>146</v>
      </c>
      <c r="K21" s="62" t="s">
        <v>667</v>
      </c>
      <c r="P21" s="129" t="str">
        <f aca="false">IF(ISNUMBER($A21),INDEX('Scope Checklist'!$B:$B,$A21),"")</f>
        <v>Pre-Construction</v>
      </c>
      <c r="Q21" s="129" t="str">
        <f aca="false">IF(ISNUMBER($A21),INDEX('Scope Checklist'!$E:$E,$A21),"")</f>
        <v>Pending</v>
      </c>
      <c r="R21" s="129" t="n">
        <f aca="false">IF(AND(ISNUMBER($A21),ISNUMBER($I21),ISNUMBER($H21)),$I21,0)</f>
        <v>8</v>
      </c>
      <c r="S21" s="130" t="n">
        <f aca="false">IF(ISNUMBER($G21),$G21,0)</f>
        <v>46339</v>
      </c>
      <c r="T21" s="130" t="n">
        <f aca="false">IF(ISNUMBER($H21),$H21,S21)</f>
        <v>46370</v>
      </c>
      <c r="U21" s="131" t="n">
        <f aca="false">IF(ISNUMBER($A21),IF(Q21="Complete",1,N(INDEX('Scope Checklist'!$I:$I,$A21))),0)</f>
        <v>0</v>
      </c>
      <c r="V21" s="131" t="n">
        <f aca="false">IF(OR(NOT(ISNUMBER($A21)),S21=0),0,IF(Dashboard!$C$4&lt;S21,0,IF(Dashboard!$C$4&gt;=T21,1,NETWORKDAYS(S21,Dashboard!$C$4,$M$6:$M$11)/NETWORKDAYS(S21,T21,$M$6:$M$11))))</f>
        <v>0</v>
      </c>
      <c r="W21" s="129" t="n">
        <f aca="false">R21*U21</f>
        <v>0</v>
      </c>
      <c r="X21" s="129" t="n">
        <f aca="false">R21*V21</f>
        <v>0</v>
      </c>
      <c r="Y21" s="132" t="b">
        <f aca="false">AND(ISNUMBER($A21),ISNUMBER($I21),T21&gt;0,T21&lt;Dashboard!$C$4,U21&lt;1)</f>
        <v>0</v>
      </c>
      <c r="Z21" s="129" t="str">
        <f aca="false">IF(Y21,COUNTIF(Y$6:Y21,TRUE()),"")</f>
        <v/>
      </c>
      <c r="AA21" s="132" t="b">
        <f aca="false">AND(ISNUMBER($A21),ISNUMBER($I21),U21&lt;1,NOT(Y21),S21&gt;0,S21&lt;=WORKDAY(Dashboard!$C$4,10,$M$6:$M$11),T21&gt;=Dashboard!$C$4)</f>
        <v>0</v>
      </c>
      <c r="AB21" s="129" t="str">
        <f aca="false">IF(AA21,COUNTIF(AA$6:AA21,TRUE()),"")</f>
        <v/>
      </c>
    </row>
    <row r="22" customFormat="false" ht="15" hidden="false" customHeight="false" outlineLevel="0" collapsed="false">
      <c r="A22" s="133" t="n">
        <v>23</v>
      </c>
      <c r="B22" s="134" t="n">
        <f aca="false">IF('Scope Checklist'!A23="","-",'Scope Checklist'!A23)</f>
        <v>16</v>
      </c>
      <c r="C22" s="135" t="str">
        <f aca="false">'Scope Checklist'!D23</f>
        <v>Mechanical permit</v>
      </c>
      <c r="D22" s="62" t="s">
        <v>668</v>
      </c>
      <c r="E22" s="136" t="n">
        <v>5</v>
      </c>
      <c r="F22" s="136" t="n">
        <v>15</v>
      </c>
      <c r="G22" s="64" t="n">
        <f aca="false">WORKDAY(G21,E22,$M$6:$M$11)</f>
        <v>46346</v>
      </c>
      <c r="H22" s="64" t="n">
        <f aca="false">WORKDAY(G22,F22-1,$M$6:$M$11)</f>
        <v>46370</v>
      </c>
      <c r="I22" s="136" t="n">
        <v>4</v>
      </c>
      <c r="J22" s="133" t="s">
        <v>146</v>
      </c>
      <c r="K22" s="62" t="s">
        <v>669</v>
      </c>
      <c r="P22" s="129" t="str">
        <f aca="false">IF(ISNUMBER($A22),INDEX('Scope Checklist'!$B:$B,$A22),"")</f>
        <v>Pre-Construction</v>
      </c>
      <c r="Q22" s="129" t="str">
        <f aca="false">IF(ISNUMBER($A22),INDEX('Scope Checklist'!$E:$E,$A22),"")</f>
        <v>Pending</v>
      </c>
      <c r="R22" s="129" t="n">
        <f aca="false">IF(AND(ISNUMBER($A22),ISNUMBER($I22),ISNUMBER($H22)),$I22,0)</f>
        <v>4</v>
      </c>
      <c r="S22" s="130" t="n">
        <f aca="false">IF(ISNUMBER($G22),$G22,0)</f>
        <v>46346</v>
      </c>
      <c r="T22" s="130" t="n">
        <f aca="false">IF(ISNUMBER($H22),$H22,S22)</f>
        <v>46370</v>
      </c>
      <c r="U22" s="131" t="n">
        <f aca="false">IF(ISNUMBER($A22),IF(Q22="Complete",1,N(INDEX('Scope Checklist'!$I:$I,$A22))),0)</f>
        <v>0</v>
      </c>
      <c r="V22" s="131" t="n">
        <f aca="false">IF(OR(NOT(ISNUMBER($A22)),S22=0),0,IF(Dashboard!$C$4&lt;S22,0,IF(Dashboard!$C$4&gt;=T22,1,NETWORKDAYS(S22,Dashboard!$C$4,$M$6:$M$11)/NETWORKDAYS(S22,T22,$M$6:$M$11))))</f>
        <v>0</v>
      </c>
      <c r="W22" s="129" t="n">
        <f aca="false">R22*U22</f>
        <v>0</v>
      </c>
      <c r="X22" s="129" t="n">
        <f aca="false">R22*V22</f>
        <v>0</v>
      </c>
      <c r="Y22" s="132" t="b">
        <f aca="false">AND(ISNUMBER($A22),ISNUMBER($I22),T22&gt;0,T22&lt;Dashboard!$C$4,U22&lt;1)</f>
        <v>0</v>
      </c>
      <c r="Z22" s="129" t="str">
        <f aca="false">IF(Y22,COUNTIF(Y$6:Y22,TRUE()),"")</f>
        <v/>
      </c>
      <c r="AA22" s="132" t="b">
        <f aca="false">AND(ISNUMBER($A22),ISNUMBER($I22),U22&lt;1,NOT(Y22),S22&gt;0,S22&lt;=WORKDAY(Dashboard!$C$4,10,$M$6:$M$11),T22&gt;=Dashboard!$C$4)</f>
        <v>0</v>
      </c>
      <c r="AB22" s="129" t="str">
        <f aca="false">IF(AA22,COUNTIF(AA$6:AA22,TRUE()),"")</f>
        <v/>
      </c>
    </row>
    <row r="23" customFormat="false" ht="15" hidden="false" customHeight="false" outlineLevel="0" collapsed="false">
      <c r="A23" s="133" t="n">
        <v>24</v>
      </c>
      <c r="B23" s="134" t="n">
        <f aca="false">IF('Scope Checklist'!A24="","-",'Scope Checklist'!A24)</f>
        <v>17</v>
      </c>
      <c r="C23" s="135" t="str">
        <f aca="false">'Scope Checklist'!D24</f>
        <v>Electrical permit</v>
      </c>
      <c r="D23" s="62" t="s">
        <v>668</v>
      </c>
      <c r="E23" s="136" t="n">
        <v>5</v>
      </c>
      <c r="F23" s="136" t="n">
        <v>15</v>
      </c>
      <c r="G23" s="64" t="n">
        <f aca="false">WORKDAY(G21,E23,$M$6:$M$11)</f>
        <v>46346</v>
      </c>
      <c r="H23" s="64" t="n">
        <f aca="false">WORKDAY(G23,F23-1,$M$6:$M$11)</f>
        <v>46370</v>
      </c>
      <c r="I23" s="136" t="n">
        <v>4</v>
      </c>
      <c r="J23" s="133" t="s">
        <v>146</v>
      </c>
      <c r="K23" s="62" t="s">
        <v>670</v>
      </c>
      <c r="P23" s="129" t="str">
        <f aca="false">IF(ISNUMBER($A23),INDEX('Scope Checklist'!$B:$B,$A23),"")</f>
        <v>Pre-Construction</v>
      </c>
      <c r="Q23" s="129" t="str">
        <f aca="false">IF(ISNUMBER($A23),INDEX('Scope Checklist'!$E:$E,$A23),"")</f>
        <v>Pending</v>
      </c>
      <c r="R23" s="129" t="n">
        <f aca="false">IF(AND(ISNUMBER($A23),ISNUMBER($I23),ISNUMBER($H23)),$I23,0)</f>
        <v>4</v>
      </c>
      <c r="S23" s="130" t="n">
        <f aca="false">IF(ISNUMBER($G23),$G23,0)</f>
        <v>46346</v>
      </c>
      <c r="T23" s="130" t="n">
        <f aca="false">IF(ISNUMBER($H23),$H23,S23)</f>
        <v>46370</v>
      </c>
      <c r="U23" s="131" t="n">
        <f aca="false">IF(ISNUMBER($A23),IF(Q23="Complete",1,N(INDEX('Scope Checklist'!$I:$I,$A23))),0)</f>
        <v>0</v>
      </c>
      <c r="V23" s="131" t="n">
        <f aca="false">IF(OR(NOT(ISNUMBER($A23)),S23=0),0,IF(Dashboard!$C$4&lt;S23,0,IF(Dashboard!$C$4&gt;=T23,1,NETWORKDAYS(S23,Dashboard!$C$4,$M$6:$M$11)/NETWORKDAYS(S23,T23,$M$6:$M$11))))</f>
        <v>0</v>
      </c>
      <c r="W23" s="129" t="n">
        <f aca="false">R23*U23</f>
        <v>0</v>
      </c>
      <c r="X23" s="129" t="n">
        <f aca="false">R23*V23</f>
        <v>0</v>
      </c>
      <c r="Y23" s="132" t="b">
        <f aca="false">AND(ISNUMBER($A23),ISNUMBER($I23),T23&gt;0,T23&lt;Dashboard!$C$4,U23&lt;1)</f>
        <v>0</v>
      </c>
      <c r="Z23" s="129" t="str">
        <f aca="false">IF(Y23,COUNTIF(Y$6:Y23,TRUE()),"")</f>
        <v/>
      </c>
      <c r="AA23" s="132" t="b">
        <f aca="false">AND(ISNUMBER($A23),ISNUMBER($I23),U23&lt;1,NOT(Y23),S23&gt;0,S23&lt;=WORKDAY(Dashboard!$C$4,10,$M$6:$M$11),T23&gt;=Dashboard!$C$4)</f>
        <v>0</v>
      </c>
      <c r="AB23" s="129" t="str">
        <f aca="false">IF(AA23,COUNTIF(AA$6:AA23,TRUE()),"")</f>
        <v/>
      </c>
    </row>
    <row r="24" customFormat="false" ht="15" hidden="false" customHeight="false" outlineLevel="0" collapsed="false">
      <c r="A24" s="133" t="n">
        <v>25</v>
      </c>
      <c r="B24" s="134" t="n">
        <f aca="false">IF('Scope Checklist'!A25="","-",'Scope Checklist'!A25)</f>
        <v>18</v>
      </c>
      <c r="C24" s="135" t="str">
        <f aca="false">'Scope Checklist'!D25</f>
        <v>Plumbing permit</v>
      </c>
      <c r="D24" s="62" t="s">
        <v>668</v>
      </c>
      <c r="E24" s="136" t="n">
        <v>5</v>
      </c>
      <c r="F24" s="136" t="n">
        <v>15</v>
      </c>
      <c r="G24" s="64" t="n">
        <f aca="false">WORKDAY(G21,E24,$M$6:$M$11)</f>
        <v>46346</v>
      </c>
      <c r="H24" s="64" t="n">
        <f aca="false">WORKDAY(G24,F24-1,$M$6:$M$11)</f>
        <v>46370</v>
      </c>
      <c r="I24" s="136" t="n">
        <v>4</v>
      </c>
      <c r="J24" s="133" t="s">
        <v>146</v>
      </c>
      <c r="K24" s="62" t="s">
        <v>671</v>
      </c>
      <c r="P24" s="129" t="str">
        <f aca="false">IF(ISNUMBER($A24),INDEX('Scope Checklist'!$B:$B,$A24),"")</f>
        <v>Pre-Construction</v>
      </c>
      <c r="Q24" s="129" t="str">
        <f aca="false">IF(ISNUMBER($A24),INDEX('Scope Checklist'!$E:$E,$A24),"")</f>
        <v>Pending</v>
      </c>
      <c r="R24" s="129" t="n">
        <f aca="false">IF(AND(ISNUMBER($A24),ISNUMBER($I24),ISNUMBER($H24)),$I24,0)</f>
        <v>4</v>
      </c>
      <c r="S24" s="130" t="n">
        <f aca="false">IF(ISNUMBER($G24),$G24,0)</f>
        <v>46346</v>
      </c>
      <c r="T24" s="130" t="n">
        <f aca="false">IF(ISNUMBER($H24),$H24,S24)</f>
        <v>46370</v>
      </c>
      <c r="U24" s="131" t="n">
        <f aca="false">IF(ISNUMBER($A24),IF(Q24="Complete",1,N(INDEX('Scope Checklist'!$I:$I,$A24))),0)</f>
        <v>0</v>
      </c>
      <c r="V24" s="131" t="n">
        <f aca="false">IF(OR(NOT(ISNUMBER($A24)),S24=0),0,IF(Dashboard!$C$4&lt;S24,0,IF(Dashboard!$C$4&gt;=T24,1,NETWORKDAYS(S24,Dashboard!$C$4,$M$6:$M$11)/NETWORKDAYS(S24,T24,$M$6:$M$11))))</f>
        <v>0</v>
      </c>
      <c r="W24" s="129" t="n">
        <f aca="false">R24*U24</f>
        <v>0</v>
      </c>
      <c r="X24" s="129" t="n">
        <f aca="false">R24*V24</f>
        <v>0</v>
      </c>
      <c r="Y24" s="132" t="b">
        <f aca="false">AND(ISNUMBER($A24),ISNUMBER($I24),T24&gt;0,T24&lt;Dashboard!$C$4,U24&lt;1)</f>
        <v>0</v>
      </c>
      <c r="Z24" s="129" t="str">
        <f aca="false">IF(Y24,COUNTIF(Y$6:Y24,TRUE()),"")</f>
        <v/>
      </c>
      <c r="AA24" s="132" t="b">
        <f aca="false">AND(ISNUMBER($A24),ISNUMBER($I24),U24&lt;1,NOT(Y24),S24&gt;0,S24&lt;=WORKDAY(Dashboard!$C$4,10,$M$6:$M$11),T24&gt;=Dashboard!$C$4)</f>
        <v>0</v>
      </c>
      <c r="AB24" s="129" t="str">
        <f aca="false">IF(AA24,COUNTIF(AA$6:AA24,TRUE()),"")</f>
        <v/>
      </c>
    </row>
    <row r="25" customFormat="false" ht="15" hidden="false" customHeight="false" outlineLevel="0" collapsed="false">
      <c r="A25" s="133" t="n">
        <v>26</v>
      </c>
      <c r="B25" s="134" t="n">
        <f aca="false">IF('Scope Checklist'!A26="","-",'Scope Checklist'!A26)</f>
        <v>19</v>
      </c>
      <c r="C25" s="135" t="str">
        <f aca="false">'Scope Checklist'!D26</f>
        <v>Fence permit</v>
      </c>
      <c r="D25" s="62" t="s">
        <v>672</v>
      </c>
      <c r="E25" s="136" t="n">
        <v>0</v>
      </c>
      <c r="F25" s="136" t="n">
        <v>10</v>
      </c>
      <c r="G25" s="64" t="n">
        <f aca="false">WORKDAY(MAX(H19,H15),1+E25,$M$6:$M$11)</f>
        <v>46339</v>
      </c>
      <c r="H25" s="64" t="n">
        <f aca="false">WORKDAY(G25,F25-1,$M$6:$M$11)</f>
        <v>46356</v>
      </c>
      <c r="I25" s="136" t="n">
        <v>3</v>
      </c>
      <c r="J25" s="133" t="s">
        <v>164</v>
      </c>
      <c r="K25" s="62" t="s">
        <v>673</v>
      </c>
      <c r="P25" s="129" t="str">
        <f aca="false">IF(ISNUMBER($A25),INDEX('Scope Checklist'!$B:$B,$A25),"")</f>
        <v>Pre-Construction</v>
      </c>
      <c r="Q25" s="129" t="str">
        <f aca="false">IF(ISNUMBER($A25),INDEX('Scope Checklist'!$E:$E,$A25),"")</f>
        <v>Pending</v>
      </c>
      <c r="R25" s="129" t="n">
        <f aca="false">IF(AND(ISNUMBER($A25),ISNUMBER($I25),ISNUMBER($H25)),$I25,0)</f>
        <v>3</v>
      </c>
      <c r="S25" s="130" t="n">
        <f aca="false">IF(ISNUMBER($G25),$G25,0)</f>
        <v>46339</v>
      </c>
      <c r="T25" s="130" t="n">
        <f aca="false">IF(ISNUMBER($H25),$H25,S25)</f>
        <v>46356</v>
      </c>
      <c r="U25" s="131" t="n">
        <f aca="false">IF(ISNUMBER($A25),IF(Q25="Complete",1,N(INDEX('Scope Checklist'!$I:$I,$A25))),0)</f>
        <v>0</v>
      </c>
      <c r="V25" s="131" t="n">
        <f aca="false">IF(OR(NOT(ISNUMBER($A25)),S25=0),0,IF(Dashboard!$C$4&lt;S25,0,IF(Dashboard!$C$4&gt;=T25,1,NETWORKDAYS(S25,Dashboard!$C$4,$M$6:$M$11)/NETWORKDAYS(S25,T25,$M$6:$M$11))))</f>
        <v>0</v>
      </c>
      <c r="W25" s="129" t="n">
        <f aca="false">R25*U25</f>
        <v>0</v>
      </c>
      <c r="X25" s="129" t="n">
        <f aca="false">R25*V25</f>
        <v>0</v>
      </c>
      <c r="Y25" s="132" t="b">
        <f aca="false">AND(ISNUMBER($A25),ISNUMBER($I25),T25&gt;0,T25&lt;Dashboard!$C$4,U25&lt;1)</f>
        <v>0</v>
      </c>
      <c r="Z25" s="129" t="str">
        <f aca="false">IF(Y25,COUNTIF(Y$6:Y25,TRUE()),"")</f>
        <v/>
      </c>
      <c r="AA25" s="132" t="b">
        <f aca="false">AND(ISNUMBER($A25),ISNUMBER($I25),U25&lt;1,NOT(Y25),S25&gt;0,S25&lt;=WORKDAY(Dashboard!$C$4,10,$M$6:$M$11),T25&gt;=Dashboard!$C$4)</f>
        <v>0</v>
      </c>
      <c r="AB25" s="129" t="str">
        <f aca="false">IF(AA25,COUNTIF(AA$6:AA25,TRUE()),"")</f>
        <v/>
      </c>
    </row>
    <row r="26" customFormat="false" ht="15" hidden="false" customHeight="false" outlineLevel="0" collapsed="false">
      <c r="A26" s="133" t="n">
        <v>27</v>
      </c>
      <c r="B26" s="134" t="n">
        <f aca="false">IF('Scope Checklist'!A27="","-",'Scope Checklist'!A27)</f>
        <v>20</v>
      </c>
      <c r="C26" s="135" t="str">
        <f aca="false">'Scope Checklist'!D27</f>
        <v>Driveway permit</v>
      </c>
      <c r="D26" s="62" t="s">
        <v>674</v>
      </c>
      <c r="E26" s="136" t="n">
        <v>0</v>
      </c>
      <c r="F26" s="136" t="n">
        <v>10</v>
      </c>
      <c r="G26" s="64" t="n">
        <f aca="false">WORKDAY(MAX(H19,H14),1+E26,$M$6:$M$11)</f>
        <v>46339</v>
      </c>
      <c r="H26" s="64" t="n">
        <f aca="false">WORKDAY(G26,F26-1,$M$6:$M$11)</f>
        <v>46356</v>
      </c>
      <c r="I26" s="136" t="n">
        <v>3</v>
      </c>
      <c r="J26" s="133" t="s">
        <v>164</v>
      </c>
      <c r="K26" s="62" t="s">
        <v>675</v>
      </c>
      <c r="P26" s="129" t="str">
        <f aca="false">IF(ISNUMBER($A26),INDEX('Scope Checklist'!$B:$B,$A26),"")</f>
        <v>Pre-Construction</v>
      </c>
      <c r="Q26" s="129" t="str">
        <f aca="false">IF(ISNUMBER($A26),INDEX('Scope Checklist'!$E:$E,$A26),"")</f>
        <v>Pending</v>
      </c>
      <c r="R26" s="129" t="n">
        <f aca="false">IF(AND(ISNUMBER($A26),ISNUMBER($I26),ISNUMBER($H26)),$I26,0)</f>
        <v>3</v>
      </c>
      <c r="S26" s="130" t="n">
        <f aca="false">IF(ISNUMBER($G26),$G26,0)</f>
        <v>46339</v>
      </c>
      <c r="T26" s="130" t="n">
        <f aca="false">IF(ISNUMBER($H26),$H26,S26)</f>
        <v>46356</v>
      </c>
      <c r="U26" s="131" t="n">
        <f aca="false">IF(ISNUMBER($A26),IF(Q26="Complete",1,N(INDEX('Scope Checklist'!$I:$I,$A26))),0)</f>
        <v>0</v>
      </c>
      <c r="V26" s="131" t="n">
        <f aca="false">IF(OR(NOT(ISNUMBER($A26)),S26=0),0,IF(Dashboard!$C$4&lt;S26,0,IF(Dashboard!$C$4&gt;=T26,1,NETWORKDAYS(S26,Dashboard!$C$4,$M$6:$M$11)/NETWORKDAYS(S26,T26,$M$6:$M$11))))</f>
        <v>0</v>
      </c>
      <c r="W26" s="129" t="n">
        <f aca="false">R26*U26</f>
        <v>0</v>
      </c>
      <c r="X26" s="129" t="n">
        <f aca="false">R26*V26</f>
        <v>0</v>
      </c>
      <c r="Y26" s="132" t="b">
        <f aca="false">AND(ISNUMBER($A26),ISNUMBER($I26),T26&gt;0,T26&lt;Dashboard!$C$4,U26&lt;1)</f>
        <v>0</v>
      </c>
      <c r="Z26" s="129" t="str">
        <f aca="false">IF(Y26,COUNTIF(Y$6:Y26,TRUE()),"")</f>
        <v/>
      </c>
      <c r="AA26" s="132" t="b">
        <f aca="false">AND(ISNUMBER($A26),ISNUMBER($I26),U26&lt;1,NOT(Y26),S26&gt;0,S26&lt;=WORKDAY(Dashboard!$C$4,10,$M$6:$M$11),T26&gt;=Dashboard!$C$4)</f>
        <v>0</v>
      </c>
      <c r="AB26" s="129" t="str">
        <f aca="false">IF(AA26,COUNTIF(AA$6:AA26,TRUE()),"")</f>
        <v/>
      </c>
    </row>
    <row r="27" customFormat="false" ht="15" hidden="false" customHeight="false" outlineLevel="0" collapsed="false">
      <c r="A27" s="133" t="n">
        <v>28</v>
      </c>
      <c r="B27" s="134" t="n">
        <f aca="false">IF('Scope Checklist'!A28="","-",'Scope Checklist'!A28)</f>
        <v>21</v>
      </c>
      <c r="C27" s="135" t="str">
        <f aca="false">'Scope Checklist'!D28</f>
        <v>Gazebo permit</v>
      </c>
      <c r="D27" s="62" t="s">
        <v>672</v>
      </c>
      <c r="E27" s="136" t="n">
        <v>0</v>
      </c>
      <c r="F27" s="136" t="n">
        <v>10</v>
      </c>
      <c r="G27" s="64" t="n">
        <f aca="false">WORKDAY(MAX(H19,H15),1+E27,$M$6:$M$11)</f>
        <v>46339</v>
      </c>
      <c r="H27" s="64" t="n">
        <f aca="false">WORKDAY(G27,F27-1,$M$6:$M$11)</f>
        <v>46356</v>
      </c>
      <c r="I27" s="136" t="n">
        <v>3</v>
      </c>
      <c r="J27" s="133" t="s">
        <v>146</v>
      </c>
      <c r="K27" s="62" t="s">
        <v>676</v>
      </c>
      <c r="P27" s="129" t="str">
        <f aca="false">IF(ISNUMBER($A27),INDEX('Scope Checklist'!$B:$B,$A27),"")</f>
        <v>Pre-Construction</v>
      </c>
      <c r="Q27" s="129" t="str">
        <f aca="false">IF(ISNUMBER($A27),INDEX('Scope Checklist'!$E:$E,$A27),"")</f>
        <v>Pending</v>
      </c>
      <c r="R27" s="129" t="n">
        <f aca="false">IF(AND(ISNUMBER($A27),ISNUMBER($I27),ISNUMBER($H27)),$I27,0)</f>
        <v>3</v>
      </c>
      <c r="S27" s="130" t="n">
        <f aca="false">IF(ISNUMBER($G27),$G27,0)</f>
        <v>46339</v>
      </c>
      <c r="T27" s="130" t="n">
        <f aca="false">IF(ISNUMBER($H27),$H27,S27)</f>
        <v>46356</v>
      </c>
      <c r="U27" s="131" t="n">
        <f aca="false">IF(ISNUMBER($A27),IF(Q27="Complete",1,N(INDEX('Scope Checklist'!$I:$I,$A27))),0)</f>
        <v>0</v>
      </c>
      <c r="V27" s="131" t="n">
        <f aca="false">IF(OR(NOT(ISNUMBER($A27)),S27=0),0,IF(Dashboard!$C$4&lt;S27,0,IF(Dashboard!$C$4&gt;=T27,1,NETWORKDAYS(S27,Dashboard!$C$4,$M$6:$M$11)/NETWORKDAYS(S27,T27,$M$6:$M$11))))</f>
        <v>0</v>
      </c>
      <c r="W27" s="129" t="n">
        <f aca="false">R27*U27</f>
        <v>0</v>
      </c>
      <c r="X27" s="129" t="n">
        <f aca="false">R27*V27</f>
        <v>0</v>
      </c>
      <c r="Y27" s="132" t="b">
        <f aca="false">AND(ISNUMBER($A27),ISNUMBER($I27),T27&gt;0,T27&lt;Dashboard!$C$4,U27&lt;1)</f>
        <v>0</v>
      </c>
      <c r="Z27" s="129" t="str">
        <f aca="false">IF(Y27,COUNTIF(Y$6:Y27,TRUE()),"")</f>
        <v/>
      </c>
      <c r="AA27" s="132" t="b">
        <f aca="false">AND(ISNUMBER($A27),ISNUMBER($I27),U27&lt;1,NOT(Y27),S27&gt;0,S27&lt;=WORKDAY(Dashboard!$C$4,10,$M$6:$M$11),T27&gt;=Dashboard!$C$4)</f>
        <v>0</v>
      </c>
      <c r="AB27" s="129" t="str">
        <f aca="false">IF(AA27,COUNTIF(AA$6:AA27,TRUE()),"")</f>
        <v/>
      </c>
    </row>
    <row r="28" customFormat="false" ht="15" hidden="false" customHeight="false" outlineLevel="0" collapsed="false">
      <c r="A28" s="133" t="n">
        <v>29</v>
      </c>
      <c r="B28" s="134" t="n">
        <f aca="false">IF('Scope Checklist'!A29="","-",'Scope Checklist'!A29)</f>
        <v>22</v>
      </c>
      <c r="C28" s="135" t="str">
        <f aca="false">'Scope Checklist'!D29</f>
        <v>Garage-door permit</v>
      </c>
      <c r="D28" s="62" t="s">
        <v>677</v>
      </c>
      <c r="E28" s="136" t="n">
        <v>0</v>
      </c>
      <c r="F28" s="136" t="n">
        <v>10</v>
      </c>
      <c r="G28" s="64" t="n">
        <f aca="false">WORKDAY(MAX(H19,H12),1+E28,$M$6:$M$11)</f>
        <v>46339</v>
      </c>
      <c r="H28" s="64" t="n">
        <f aca="false">WORKDAY(G28,F28-1,$M$6:$M$11)</f>
        <v>46356</v>
      </c>
      <c r="I28" s="136" t="n">
        <v>3</v>
      </c>
      <c r="J28" s="133" t="s">
        <v>146</v>
      </c>
      <c r="K28" s="62" t="s">
        <v>678</v>
      </c>
      <c r="P28" s="129" t="str">
        <f aca="false">IF(ISNUMBER($A28),INDEX('Scope Checklist'!$B:$B,$A28),"")</f>
        <v>Pre-Construction</v>
      </c>
      <c r="Q28" s="129" t="str">
        <f aca="false">IF(ISNUMBER($A28),INDEX('Scope Checklist'!$E:$E,$A28),"")</f>
        <v>Pending</v>
      </c>
      <c r="R28" s="129" t="n">
        <f aca="false">IF(AND(ISNUMBER($A28),ISNUMBER($I28),ISNUMBER($H28)),$I28,0)</f>
        <v>3</v>
      </c>
      <c r="S28" s="130" t="n">
        <f aca="false">IF(ISNUMBER($G28),$G28,0)</f>
        <v>46339</v>
      </c>
      <c r="T28" s="130" t="n">
        <f aca="false">IF(ISNUMBER($H28),$H28,S28)</f>
        <v>46356</v>
      </c>
      <c r="U28" s="131" t="n">
        <f aca="false">IF(ISNUMBER($A28),IF(Q28="Complete",1,N(INDEX('Scope Checklist'!$I:$I,$A28))),0)</f>
        <v>0</v>
      </c>
      <c r="V28" s="131" t="n">
        <f aca="false">IF(OR(NOT(ISNUMBER($A28)),S28=0),0,IF(Dashboard!$C$4&lt;S28,0,IF(Dashboard!$C$4&gt;=T28,1,NETWORKDAYS(S28,Dashboard!$C$4,$M$6:$M$11)/NETWORKDAYS(S28,T28,$M$6:$M$11))))</f>
        <v>0</v>
      </c>
      <c r="W28" s="129" t="n">
        <f aca="false">R28*U28</f>
        <v>0</v>
      </c>
      <c r="X28" s="129" t="n">
        <f aca="false">R28*V28</f>
        <v>0</v>
      </c>
      <c r="Y28" s="132" t="b">
        <f aca="false">AND(ISNUMBER($A28),ISNUMBER($I28),T28&gt;0,T28&lt;Dashboard!$C$4,U28&lt;1)</f>
        <v>0</v>
      </c>
      <c r="Z28" s="129" t="str">
        <f aca="false">IF(Y28,COUNTIF(Y$6:Y28,TRUE()),"")</f>
        <v/>
      </c>
      <c r="AA28" s="132" t="b">
        <f aca="false">AND(ISNUMBER($A28),ISNUMBER($I28),U28&lt;1,NOT(Y28),S28&gt;0,S28&lt;=WORKDAY(Dashboard!$C$4,10,$M$6:$M$11),T28&gt;=Dashboard!$C$4)</f>
        <v>0</v>
      </c>
      <c r="AB28" s="129" t="str">
        <f aca="false">IF(AA28,COUNTIF(AA$6:AA28,TRUE()),"")</f>
        <v/>
      </c>
    </row>
    <row r="29" customFormat="false" ht="15" hidden="false" customHeight="false" outlineLevel="0" collapsed="false">
      <c r="A29" s="133" t="n">
        <v>30</v>
      </c>
      <c r="B29" s="134" t="n">
        <f aca="false">IF('Scope Checklist'!A30="","-",'Scope Checklist'!A30)</f>
        <v>23</v>
      </c>
      <c r="C29" s="135" t="str">
        <f aca="false">'Scope Checklist'!D30</f>
        <v>Demolition &amp; Waste Management</v>
      </c>
      <c r="D29" s="62" t="s">
        <v>679</v>
      </c>
      <c r="E29" s="136" t="n">
        <v>0</v>
      </c>
      <c r="F29" s="133" t="n">
        <f aca="false">NETWORKDAYS(G29,H29,$M$6:$M$11)</f>
        <v>76</v>
      </c>
      <c r="G29" s="64" t="n">
        <f aca="false">$C$3</f>
        <v>46300</v>
      </c>
      <c r="H29" s="64" t="n">
        <f aca="false">H41</f>
        <v>46413</v>
      </c>
      <c r="I29" s="136" t="n">
        <v>10</v>
      </c>
      <c r="J29" s="133" t="s">
        <v>146</v>
      </c>
      <c r="K29" s="62" t="s">
        <v>680</v>
      </c>
      <c r="P29" s="129" t="str">
        <f aca="false">IF(ISNUMBER($A29),INDEX('Scope Checklist'!$B:$B,$A29),"")</f>
        <v>Pre-Construction</v>
      </c>
      <c r="Q29" s="129" t="str">
        <f aca="false">IF(ISNUMBER($A29),INDEX('Scope Checklist'!$E:$E,$A29),"")</f>
        <v>In Progress</v>
      </c>
      <c r="R29" s="129" t="n">
        <f aca="false">IF(AND(ISNUMBER($A29),ISNUMBER($I29),ISNUMBER($H29)),$I29,0)</f>
        <v>10</v>
      </c>
      <c r="S29" s="130" t="n">
        <f aca="false">IF(ISNUMBER($G29),$G29,0)</f>
        <v>46300</v>
      </c>
      <c r="T29" s="130" t="n">
        <f aca="false">IF(ISNUMBER($H29),$H29,S29)</f>
        <v>46413</v>
      </c>
      <c r="U29" s="131" t="n">
        <f aca="false">IF(ISNUMBER($A29),IF(Q29="Complete",1,N(INDEX('Scope Checklist'!$I:$I,$A29))),0)</f>
        <v>0.9</v>
      </c>
      <c r="V29" s="131" t="n">
        <f aca="false">IF(OR(NOT(ISNUMBER($A29)),S29=0),0,IF(Dashboard!$C$4&lt;S29,0,IF(Dashboard!$C$4&gt;=T29,1,NETWORKDAYS(S29,Dashboard!$C$4,$M$6:$M$11)/NETWORKDAYS(S29,T29,$M$6:$M$11))))</f>
        <v>0</v>
      </c>
      <c r="W29" s="129" t="n">
        <f aca="false">R29*U29</f>
        <v>9</v>
      </c>
      <c r="X29" s="129" t="n">
        <f aca="false">R29*V29</f>
        <v>0</v>
      </c>
      <c r="Y29" s="132" t="b">
        <f aca="false">AND(ISNUMBER($A29),ISNUMBER($I29),T29&gt;0,T29&lt;Dashboard!$C$4,U29&lt;1)</f>
        <v>0</v>
      </c>
      <c r="Z29" s="129" t="str">
        <f aca="false">IF(Y29,COUNTIF(Y$6:Y29,TRUE()),"")</f>
        <v/>
      </c>
      <c r="AA29" s="132" t="b">
        <f aca="false">AND(ISNUMBER($A29),ISNUMBER($I29),U29&lt;1,NOT(Y29),S29&gt;0,S29&lt;=WORKDAY(Dashboard!$C$4,10,$M$6:$M$11),T29&gt;=Dashboard!$C$4)</f>
        <v>1</v>
      </c>
      <c r="AB29" s="129" t="n">
        <f aca="false">IF(AA29,COUNTIF(AA$6:AA29,TRUE()),"")</f>
        <v>3</v>
      </c>
    </row>
    <row r="30" customFormat="false" ht="15" hidden="false" customHeight="false" outlineLevel="0" collapsed="false">
      <c r="A30" s="133" t="n">
        <v>31</v>
      </c>
      <c r="B30" s="134" t="n">
        <f aca="false">IF('Scope Checklist'!A31="","-",'Scope Checklist'!A31)</f>
        <v>24</v>
      </c>
      <c r="C30" s="135" t="str">
        <f aca="false">'Scope Checklist'!D31</f>
        <v>Utilities</v>
      </c>
      <c r="D30" s="62" t="s">
        <v>681</v>
      </c>
      <c r="E30" s="136" t="n">
        <v>0</v>
      </c>
      <c r="F30" s="133" t="s">
        <v>124</v>
      </c>
      <c r="G30" s="64" t="n">
        <f aca="false">$C$3</f>
        <v>46300</v>
      </c>
      <c r="H30" s="64" t="s">
        <v>175</v>
      </c>
      <c r="I30" s="136" t="n">
        <v>2</v>
      </c>
      <c r="J30" s="133" t="s">
        <v>146</v>
      </c>
      <c r="K30" s="62" t="s">
        <v>682</v>
      </c>
      <c r="P30" s="129" t="str">
        <f aca="false">IF(ISNUMBER($A30),INDEX('Scope Checklist'!$B:$B,$A30),"")</f>
        <v>Pre-Construction</v>
      </c>
      <c r="Q30" s="129" t="str">
        <f aca="false">IF(ISNUMBER($A30),INDEX('Scope Checklist'!$E:$E,$A30),"")</f>
        <v>In Progress</v>
      </c>
      <c r="R30" s="129" t="n">
        <f aca="false">IF(AND(ISNUMBER($A30),ISNUMBER($I30),ISNUMBER($H30)),$I30,0)</f>
        <v>0</v>
      </c>
      <c r="S30" s="130" t="n">
        <f aca="false">IF(ISNUMBER($G30),$G30,0)</f>
        <v>46300</v>
      </c>
      <c r="T30" s="130" t="n">
        <f aca="false">IF(ISNUMBER($H30),$H30,S30)</f>
        <v>46300</v>
      </c>
      <c r="U30" s="131" t="n">
        <f aca="false">IF(ISNUMBER($A30),IF(Q30="Complete",1,N(INDEX('Scope Checklist'!$I:$I,$A30))),0)</f>
        <v>0</v>
      </c>
      <c r="V30" s="131" t="n">
        <f aca="false">IF(OR(NOT(ISNUMBER($A30)),S30=0),0,IF(Dashboard!$C$4&lt;S30,0,IF(Dashboard!$C$4&gt;=T30,1,NETWORKDAYS(S30,Dashboard!$C$4,$M$6:$M$11)/NETWORKDAYS(S30,T30,$M$6:$M$11))))</f>
        <v>0</v>
      </c>
      <c r="W30" s="129" t="n">
        <f aca="false">R30*U30</f>
        <v>0</v>
      </c>
      <c r="X30" s="129" t="n">
        <f aca="false">R30*V30</f>
        <v>0</v>
      </c>
      <c r="Y30" s="132" t="b">
        <f aca="false">AND(ISNUMBER($A30),ISNUMBER($I30),T30&gt;0,T30&lt;Dashboard!$C$4,U30&lt;1)</f>
        <v>0</v>
      </c>
      <c r="Z30" s="129" t="str">
        <f aca="false">IF(Y30,COUNTIF(Y$6:Y30,TRUE()),"")</f>
        <v/>
      </c>
      <c r="AA30" s="132" t="b">
        <f aca="false">AND(ISNUMBER($A30),ISNUMBER($I30),U30&lt;1,NOT(Y30),S30&gt;0,S30&lt;=WORKDAY(Dashboard!$C$4,10,$M$6:$M$11),T30&gt;=Dashboard!$C$4)</f>
        <v>1</v>
      </c>
      <c r="AB30" s="129" t="n">
        <f aca="false">IF(AA30,COUNTIF(AA$6:AA30,TRUE()),"")</f>
        <v>4</v>
      </c>
    </row>
    <row r="31" customFormat="false" ht="15" hidden="false" customHeight="false" outlineLevel="0" collapsed="false">
      <c r="A31" s="59" t="s">
        <v>179</v>
      </c>
      <c r="B31" s="127"/>
      <c r="C31" s="127"/>
      <c r="D31" s="127"/>
      <c r="E31" s="127"/>
      <c r="F31" s="127"/>
      <c r="G31" s="127"/>
      <c r="H31" s="127"/>
      <c r="I31" s="127"/>
      <c r="J31" s="127"/>
      <c r="K31" s="127"/>
      <c r="P31" s="129" t="str">
        <f aca="false">IF(ISNUMBER($A31),INDEX('Scope Checklist'!$B:$B,$A31),"")</f>
        <v/>
      </c>
      <c r="Q31" s="129" t="str">
        <f aca="false">IF(ISNUMBER($A31),INDEX('Scope Checklist'!$E:$E,$A31),"")</f>
        <v/>
      </c>
      <c r="R31" s="129" t="n">
        <f aca="false">IF(AND(ISNUMBER($A31),ISNUMBER($I31),ISNUMBER($H31)),$I31,0)</f>
        <v>0</v>
      </c>
      <c r="S31" s="130" t="n">
        <f aca="false">IF(ISNUMBER($G31),$G31,0)</f>
        <v>0</v>
      </c>
      <c r="T31" s="130" t="n">
        <f aca="false">IF(ISNUMBER($H31),$H31,S31)</f>
        <v>0</v>
      </c>
      <c r="U31" s="131" t="n">
        <f aca="false">IF(ISNUMBER($A31),IF(Q31="Complete",1,N(INDEX('Scope Checklist'!$I:$I,$A31))),0)</f>
        <v>0</v>
      </c>
      <c r="V31" s="131" t="n">
        <f aca="false">IF(OR(NOT(ISNUMBER($A31)),S31=0),0,IF(Dashboard!$C$4&lt;S31,0,IF(Dashboard!$C$4&gt;=T31,1,NETWORKDAYS(S31,Dashboard!$C$4,$M$6:$M$11)/NETWORKDAYS(S31,T31,$M$6:$M$11))))</f>
        <v>0</v>
      </c>
      <c r="W31" s="129" t="n">
        <f aca="false">R31*U31</f>
        <v>0</v>
      </c>
      <c r="X31" s="129" t="n">
        <f aca="false">R31*V31</f>
        <v>0</v>
      </c>
      <c r="Y31" s="132" t="b">
        <f aca="false">AND(ISNUMBER($A31),ISNUMBER($I31),T31&gt;0,T31&lt;Dashboard!$C$4,U31&lt;1)</f>
        <v>0</v>
      </c>
      <c r="Z31" s="129" t="str">
        <f aca="false">IF(Y31,COUNTIF(Y$6:Y31,TRUE()),"")</f>
        <v/>
      </c>
      <c r="AA31" s="132" t="b">
        <f aca="false">AND(ISNUMBER($A31),ISNUMBER($I31),U31&lt;1,NOT(Y31),S31&gt;0,S31&lt;=WORKDAY(Dashboard!$C$4,10,$M$6:$M$11),T31&gt;=Dashboard!$C$4)</f>
        <v>0</v>
      </c>
      <c r="AB31" s="129" t="str">
        <f aca="false">IF(AA31,COUNTIF(AA$6:AA31,TRUE()),"")</f>
        <v/>
      </c>
    </row>
    <row r="32" customFormat="false" ht="23.85" hidden="false" customHeight="false" outlineLevel="0" collapsed="false">
      <c r="A32" s="133" t="n">
        <v>35</v>
      </c>
      <c r="B32" s="134" t="str">
        <f aca="false">IF('Scope Checklist'!A35="","-",'Scope Checklist'!A35)</f>
        <v>N1</v>
      </c>
      <c r="C32" s="135" t="str">
        <f aca="false">'Scope Checklist'!D35</f>
        <v>Site protection + inventory (windows, railings, outlets, switches, smoke detectors)</v>
      </c>
      <c r="D32" s="62" t="s">
        <v>619</v>
      </c>
      <c r="E32" s="136" t="n">
        <v>0</v>
      </c>
      <c r="F32" s="136" t="n">
        <v>2</v>
      </c>
      <c r="G32" s="64" t="n">
        <f aca="false">$C$3</f>
        <v>46300</v>
      </c>
      <c r="H32" s="64" t="n">
        <f aca="false">WORKDAY(G32,F32-1,$M$6:$M$11)</f>
        <v>46301</v>
      </c>
      <c r="I32" s="136" t="n">
        <v>12</v>
      </c>
      <c r="J32" s="133" t="s">
        <v>164</v>
      </c>
      <c r="K32" s="62" t="s">
        <v>683</v>
      </c>
      <c r="P32" s="129" t="str">
        <f aca="false">IF(ISNUMBER($A32),INDEX('Scope Checklist'!$B:$B,$A32),"")</f>
        <v>Interior - Demo/Structure</v>
      </c>
      <c r="Q32" s="129" t="str">
        <f aca="false">IF(ISNUMBER($A32),INDEX('Scope Checklist'!$E:$E,$A32),"")</f>
        <v>Pending</v>
      </c>
      <c r="R32" s="129" t="n">
        <f aca="false">IF(AND(ISNUMBER($A32),ISNUMBER($I32),ISNUMBER($H32)),$I32,0)</f>
        <v>12</v>
      </c>
      <c r="S32" s="130" t="n">
        <f aca="false">IF(ISNUMBER($G32),$G32,0)</f>
        <v>46300</v>
      </c>
      <c r="T32" s="130" t="n">
        <f aca="false">IF(ISNUMBER($H32),$H32,S32)</f>
        <v>46301</v>
      </c>
      <c r="U32" s="131" t="n">
        <f aca="false">IF(ISNUMBER($A32),IF(Q32="Complete",1,N(INDEX('Scope Checklist'!$I:$I,$A32))),0)</f>
        <v>0</v>
      </c>
      <c r="V32" s="131" t="n">
        <f aca="false">IF(OR(NOT(ISNUMBER($A32)),S32=0),0,IF(Dashboard!$C$4&lt;S32,0,IF(Dashboard!$C$4&gt;=T32,1,NETWORKDAYS(S32,Dashboard!$C$4,$M$6:$M$11)/NETWORKDAYS(S32,T32,$M$6:$M$11))))</f>
        <v>0</v>
      </c>
      <c r="W32" s="129" t="n">
        <f aca="false">R32*U32</f>
        <v>0</v>
      </c>
      <c r="X32" s="129" t="n">
        <f aca="false">R32*V32</f>
        <v>0</v>
      </c>
      <c r="Y32" s="132" t="b">
        <f aca="false">AND(ISNUMBER($A32),ISNUMBER($I32),T32&gt;0,T32&lt;Dashboard!$C$4,U32&lt;1)</f>
        <v>0</v>
      </c>
      <c r="Z32" s="129" t="str">
        <f aca="false">IF(Y32,COUNTIF(Y$6:Y32,TRUE()),"")</f>
        <v/>
      </c>
      <c r="AA32" s="132" t="b">
        <f aca="false">AND(ISNUMBER($A32),ISNUMBER($I32),U32&lt;1,NOT(Y32),S32&gt;0,S32&lt;=WORKDAY(Dashboard!$C$4,10,$M$6:$M$11),T32&gt;=Dashboard!$C$4)</f>
        <v>1</v>
      </c>
      <c r="AB32" s="129" t="n">
        <f aca="false">IF(AA32,COUNTIF(AA$6:AA32,TRUE()),"")</f>
        <v>5</v>
      </c>
    </row>
    <row r="33" customFormat="false" ht="15" hidden="false" customHeight="false" outlineLevel="0" collapsed="false">
      <c r="A33" s="133" t="n">
        <v>36</v>
      </c>
      <c r="B33" s="134" t="str">
        <f aca="false">IF('Scope Checklist'!A36="","-",'Scope Checklist'!A36)</f>
        <v>N2</v>
      </c>
      <c r="C33" s="135" t="str">
        <f aca="false">'Scope Checklist'!D36</f>
        <v>Structural engineering review - removed interior walls / truss bearing</v>
      </c>
      <c r="D33" s="62" t="s">
        <v>684</v>
      </c>
      <c r="E33" s="136" t="n">
        <v>0</v>
      </c>
      <c r="F33" s="136" t="n">
        <v>8</v>
      </c>
      <c r="G33" s="64" t="n">
        <f aca="false">$C$3</f>
        <v>46300</v>
      </c>
      <c r="H33" s="64" t="n">
        <f aca="false">WORKDAY(G33,F33-1,$M$6:$M$11)</f>
        <v>46309</v>
      </c>
      <c r="I33" s="136" t="n">
        <v>8</v>
      </c>
      <c r="J33" s="133" t="s">
        <v>191</v>
      </c>
      <c r="K33" s="62" t="s">
        <v>685</v>
      </c>
      <c r="P33" s="129" t="str">
        <f aca="false">IF(ISNUMBER($A33),INDEX('Scope Checklist'!$B:$B,$A33),"")</f>
        <v>Interior - Demo/Structure</v>
      </c>
      <c r="Q33" s="129" t="str">
        <f aca="false">IF(ISNUMBER($A33),INDEX('Scope Checklist'!$E:$E,$A33),"")</f>
        <v>Pending</v>
      </c>
      <c r="R33" s="129" t="n">
        <f aca="false">IF(AND(ISNUMBER($A33),ISNUMBER($I33),ISNUMBER($H33)),$I33,0)</f>
        <v>8</v>
      </c>
      <c r="S33" s="130" t="n">
        <f aca="false">IF(ISNUMBER($G33),$G33,0)</f>
        <v>46300</v>
      </c>
      <c r="T33" s="130" t="n">
        <f aca="false">IF(ISNUMBER($H33),$H33,S33)</f>
        <v>46309</v>
      </c>
      <c r="U33" s="131" t="n">
        <f aca="false">IF(ISNUMBER($A33),IF(Q33="Complete",1,N(INDEX('Scope Checklist'!$I:$I,$A33))),0)</f>
        <v>0</v>
      </c>
      <c r="V33" s="131" t="n">
        <f aca="false">IF(OR(NOT(ISNUMBER($A33)),S33=0),0,IF(Dashboard!$C$4&lt;S33,0,IF(Dashboard!$C$4&gt;=T33,1,NETWORKDAYS(S33,Dashboard!$C$4,$M$6:$M$11)/NETWORKDAYS(S33,T33,$M$6:$M$11))))</f>
        <v>0</v>
      </c>
      <c r="W33" s="129" t="n">
        <f aca="false">R33*U33</f>
        <v>0</v>
      </c>
      <c r="X33" s="129" t="n">
        <f aca="false">R33*V33</f>
        <v>0</v>
      </c>
      <c r="Y33" s="132" t="b">
        <f aca="false">AND(ISNUMBER($A33),ISNUMBER($I33),T33&gt;0,T33&lt;Dashboard!$C$4,U33&lt;1)</f>
        <v>0</v>
      </c>
      <c r="Z33" s="129" t="str">
        <f aca="false">IF(Y33,COUNTIF(Y$6:Y33,TRUE()),"")</f>
        <v/>
      </c>
      <c r="AA33" s="132" t="b">
        <f aca="false">AND(ISNUMBER($A33),ISNUMBER($I33),U33&lt;1,NOT(Y33),S33&gt;0,S33&lt;=WORKDAY(Dashboard!$C$4,10,$M$6:$M$11),T33&gt;=Dashboard!$C$4)</f>
        <v>1</v>
      </c>
      <c r="AB33" s="129" t="n">
        <f aca="false">IF(AA33,COUNTIF(AA$6:AA33,TRUE()),"")</f>
        <v>6</v>
      </c>
    </row>
    <row r="34" customFormat="false" ht="15" hidden="false" customHeight="false" outlineLevel="0" collapsed="false">
      <c r="A34" s="133" t="n">
        <v>37</v>
      </c>
      <c r="B34" s="134" t="n">
        <f aca="false">IF('Scope Checklist'!A37="","-",'Scope Checklist'!A37)</f>
        <v>56</v>
      </c>
      <c r="C34" s="135" t="str">
        <f aca="false">'Scope Checklist'!D37</f>
        <v>Popcorn ceiling removal - flat finish &amp; skin coat</v>
      </c>
      <c r="D34" s="62" t="s">
        <v>686</v>
      </c>
      <c r="E34" s="136" t="n">
        <v>0</v>
      </c>
      <c r="F34" s="136" t="n">
        <v>8</v>
      </c>
      <c r="G34" s="64" t="n">
        <f aca="false">WORKDAY(H32,1+E34,$M$6:$M$11)</f>
        <v>46302</v>
      </c>
      <c r="H34" s="64" t="n">
        <f aca="false">WORKDAY(G34,F34-1,$M$6:$M$11)</f>
        <v>46311</v>
      </c>
      <c r="I34" s="136" t="n">
        <v>64</v>
      </c>
      <c r="J34" s="133" t="s">
        <v>194</v>
      </c>
      <c r="K34" s="62" t="s">
        <v>687</v>
      </c>
      <c r="P34" s="129" t="str">
        <f aca="false">IF(ISNUMBER($A34),INDEX('Scope Checklist'!$B:$B,$A34),"")</f>
        <v>Interior - Demo/Structure</v>
      </c>
      <c r="Q34" s="129" t="str">
        <f aca="false">IF(ISNUMBER($A34),INDEX('Scope Checklist'!$E:$E,$A34),"")</f>
        <v>Pending</v>
      </c>
      <c r="R34" s="129" t="n">
        <f aca="false">IF(AND(ISNUMBER($A34),ISNUMBER($I34),ISNUMBER($H34)),$I34,0)</f>
        <v>64</v>
      </c>
      <c r="S34" s="130" t="n">
        <f aca="false">IF(ISNUMBER($G34),$G34,0)</f>
        <v>46302</v>
      </c>
      <c r="T34" s="130" t="n">
        <f aca="false">IF(ISNUMBER($H34),$H34,S34)</f>
        <v>46311</v>
      </c>
      <c r="U34" s="131" t="n">
        <f aca="false">IF(ISNUMBER($A34),IF(Q34="Complete",1,N(INDEX('Scope Checklist'!$I:$I,$A34))),0)</f>
        <v>0</v>
      </c>
      <c r="V34" s="131" t="n">
        <f aca="false">IF(OR(NOT(ISNUMBER($A34)),S34=0),0,IF(Dashboard!$C$4&lt;S34,0,IF(Dashboard!$C$4&gt;=T34,1,NETWORKDAYS(S34,Dashboard!$C$4,$M$6:$M$11)/NETWORKDAYS(S34,T34,$M$6:$M$11))))</f>
        <v>0</v>
      </c>
      <c r="W34" s="129" t="n">
        <f aca="false">R34*U34</f>
        <v>0</v>
      </c>
      <c r="X34" s="129" t="n">
        <f aca="false">R34*V34</f>
        <v>0</v>
      </c>
      <c r="Y34" s="132" t="b">
        <f aca="false">AND(ISNUMBER($A34),ISNUMBER($I34),T34&gt;0,T34&lt;Dashboard!$C$4,U34&lt;1)</f>
        <v>0</v>
      </c>
      <c r="Z34" s="129" t="str">
        <f aca="false">IF(Y34,COUNTIF(Y$6:Y34,TRUE()),"")</f>
        <v/>
      </c>
      <c r="AA34" s="132" t="b">
        <f aca="false">AND(ISNUMBER($A34),ISNUMBER($I34),U34&lt;1,NOT(Y34),S34&gt;0,S34&lt;=WORKDAY(Dashboard!$C$4,10,$M$6:$M$11),T34&gt;=Dashboard!$C$4)</f>
        <v>1</v>
      </c>
      <c r="AB34" s="129" t="n">
        <f aca="false">IF(AA34,COUNTIF(AA$6:AA34,TRUE()),"")</f>
        <v>7</v>
      </c>
    </row>
    <row r="35" customFormat="false" ht="23.85" hidden="false" customHeight="false" outlineLevel="0" collapsed="false">
      <c r="A35" s="133" t="n">
        <v>38</v>
      </c>
      <c r="B35" s="134" t="n">
        <f aca="false">IF('Scope Checklist'!A38="","-",'Scope Checklist'!A38)</f>
        <v>53</v>
      </c>
      <c r="C35" s="135" t="str">
        <f aca="false">'Scope Checklist'!D38</f>
        <v>Framing repairs / new partitions</v>
      </c>
      <c r="D35" s="62" t="s">
        <v>688</v>
      </c>
      <c r="E35" s="136" t="n">
        <v>0</v>
      </c>
      <c r="F35" s="136" t="n">
        <v>5</v>
      </c>
      <c r="G35" s="64" t="n">
        <f aca="false">WORKDAY(MAX(H21,H33),1+E35,$M$6:$M$11)</f>
        <v>46371</v>
      </c>
      <c r="H35" s="64" t="n">
        <f aca="false">WORKDAY(G35,F35-1,$M$6:$M$11)</f>
        <v>46377</v>
      </c>
      <c r="I35" s="136" t="n">
        <v>60</v>
      </c>
      <c r="J35" s="133" t="s">
        <v>184</v>
      </c>
      <c r="K35" s="62" t="s">
        <v>689</v>
      </c>
      <c r="P35" s="129" t="str">
        <f aca="false">IF(ISNUMBER($A35),INDEX('Scope Checklist'!$B:$B,$A35),"")</f>
        <v>Interior - Demo/Structure</v>
      </c>
      <c r="Q35" s="129" t="str">
        <f aca="false">IF(ISNUMBER($A35),INDEX('Scope Checklist'!$E:$E,$A35),"")</f>
        <v>Pending</v>
      </c>
      <c r="R35" s="129" t="n">
        <f aca="false">IF(AND(ISNUMBER($A35),ISNUMBER($I35),ISNUMBER($H35)),$I35,0)</f>
        <v>60</v>
      </c>
      <c r="S35" s="130" t="n">
        <f aca="false">IF(ISNUMBER($G35),$G35,0)</f>
        <v>46371</v>
      </c>
      <c r="T35" s="130" t="n">
        <f aca="false">IF(ISNUMBER($H35),$H35,S35)</f>
        <v>46377</v>
      </c>
      <c r="U35" s="131" t="n">
        <f aca="false">IF(ISNUMBER($A35),IF(Q35="Complete",1,N(INDEX('Scope Checklist'!$I:$I,$A35))),0)</f>
        <v>0</v>
      </c>
      <c r="V35" s="131" t="n">
        <f aca="false">IF(OR(NOT(ISNUMBER($A35)),S35=0),0,IF(Dashboard!$C$4&lt;S35,0,IF(Dashboard!$C$4&gt;=T35,1,NETWORKDAYS(S35,Dashboard!$C$4,$M$6:$M$11)/NETWORKDAYS(S35,T35,$M$6:$M$11))))</f>
        <v>0</v>
      </c>
      <c r="W35" s="129" t="n">
        <f aca="false">R35*U35</f>
        <v>0</v>
      </c>
      <c r="X35" s="129" t="n">
        <f aca="false">R35*V35</f>
        <v>0</v>
      </c>
      <c r="Y35" s="132" t="b">
        <f aca="false">AND(ISNUMBER($A35),ISNUMBER($I35),T35&gt;0,T35&lt;Dashboard!$C$4,U35&lt;1)</f>
        <v>0</v>
      </c>
      <c r="Z35" s="129" t="str">
        <f aca="false">IF(Y35,COUNTIF(Y$6:Y35,TRUE()),"")</f>
        <v/>
      </c>
      <c r="AA35" s="132" t="b">
        <f aca="false">AND(ISNUMBER($A35),ISNUMBER($I35),U35&lt;1,NOT(Y35),S35&gt;0,S35&lt;=WORKDAY(Dashboard!$C$4,10,$M$6:$M$11),T35&gt;=Dashboard!$C$4)</f>
        <v>0</v>
      </c>
      <c r="AB35" s="129" t="str">
        <f aca="false">IF(AA35,COUNTIF(AA$6:AA35,TRUE()),"")</f>
        <v/>
      </c>
    </row>
    <row r="36" customFormat="false" ht="23.85" hidden="false" customHeight="false" outlineLevel="0" collapsed="false">
      <c r="A36" s="133" t="n">
        <v>39</v>
      </c>
      <c r="B36" s="134" t="str">
        <f aca="false">IF('Scope Checklist'!A39="","-",'Scope Checklist'!A39)</f>
        <v>N3</v>
      </c>
      <c r="C36" s="135" t="str">
        <f aca="false">'Scope Checklist'!D39</f>
        <v>Slab trench patch after underground plumbing (baths/kitchen) + slab inspection</v>
      </c>
      <c r="D36" s="62" t="s">
        <v>690</v>
      </c>
      <c r="E36" s="136" t="n">
        <v>0</v>
      </c>
      <c r="F36" s="136" t="n">
        <v>3</v>
      </c>
      <c r="G36" s="64" t="n">
        <f aca="false">WORKDAY(H57,1+E36,$M$6:$M$11)</f>
        <v>46377</v>
      </c>
      <c r="H36" s="64" t="n">
        <f aca="false">WORKDAY(G36,F36-1,$M$6:$M$11)</f>
        <v>46379</v>
      </c>
      <c r="I36" s="136" t="n">
        <v>16</v>
      </c>
      <c r="J36" s="133" t="s">
        <v>184</v>
      </c>
      <c r="K36" s="62" t="s">
        <v>691</v>
      </c>
      <c r="P36" s="129" t="str">
        <f aca="false">IF(ISNUMBER($A36),INDEX('Scope Checklist'!$B:$B,$A36),"")</f>
        <v>Interior - Demo/Structure</v>
      </c>
      <c r="Q36" s="129" t="str">
        <f aca="false">IF(ISNUMBER($A36),INDEX('Scope Checklist'!$E:$E,$A36),"")</f>
        <v>Pending</v>
      </c>
      <c r="R36" s="129" t="n">
        <f aca="false">IF(AND(ISNUMBER($A36),ISNUMBER($I36),ISNUMBER($H36)),$I36,0)</f>
        <v>16</v>
      </c>
      <c r="S36" s="130" t="n">
        <f aca="false">IF(ISNUMBER($G36),$G36,0)</f>
        <v>46377</v>
      </c>
      <c r="T36" s="130" t="n">
        <f aca="false">IF(ISNUMBER($H36),$H36,S36)</f>
        <v>46379</v>
      </c>
      <c r="U36" s="131" t="n">
        <f aca="false">IF(ISNUMBER($A36),IF(Q36="Complete",1,N(INDEX('Scope Checklist'!$I:$I,$A36))),0)</f>
        <v>0</v>
      </c>
      <c r="V36" s="131" t="n">
        <f aca="false">IF(OR(NOT(ISNUMBER($A36)),S36=0),0,IF(Dashboard!$C$4&lt;S36,0,IF(Dashboard!$C$4&gt;=T36,1,NETWORKDAYS(S36,Dashboard!$C$4,$M$6:$M$11)/NETWORKDAYS(S36,T36,$M$6:$M$11))))</f>
        <v>0</v>
      </c>
      <c r="W36" s="129" t="n">
        <f aca="false">R36*U36</f>
        <v>0</v>
      </c>
      <c r="X36" s="129" t="n">
        <f aca="false">R36*V36</f>
        <v>0</v>
      </c>
      <c r="Y36" s="132" t="b">
        <f aca="false">AND(ISNUMBER($A36),ISNUMBER($I36),T36&gt;0,T36&lt;Dashboard!$C$4,U36&lt;1)</f>
        <v>0</v>
      </c>
      <c r="Z36" s="129" t="str">
        <f aca="false">IF(Y36,COUNTIF(Y$6:Y36,TRUE()),"")</f>
        <v/>
      </c>
      <c r="AA36" s="132" t="b">
        <f aca="false">AND(ISNUMBER($A36),ISNUMBER($I36),U36&lt;1,NOT(Y36),S36&gt;0,S36&lt;=WORKDAY(Dashboard!$C$4,10,$M$6:$M$11),T36&gt;=Dashboard!$C$4)</f>
        <v>0</v>
      </c>
      <c r="AB36" s="129" t="str">
        <f aca="false">IF(AA36,COUNTIF(AA$6:AA36,TRUE()),"")</f>
        <v/>
      </c>
    </row>
    <row r="37" customFormat="false" ht="15" hidden="false" customHeight="false" outlineLevel="0" collapsed="false">
      <c r="A37" s="133" t="n">
        <v>40</v>
      </c>
      <c r="B37" s="134" t="n">
        <f aca="false">IF('Scope Checklist'!A40="","-",'Scope Checklist'!A40)</f>
        <v>57</v>
      </c>
      <c r="C37" s="135" t="str">
        <f aca="false">'Scope Checklist'!D40</f>
        <v>Concrete slab repair + tile infill under AC unit</v>
      </c>
      <c r="D37" s="62" t="s">
        <v>692</v>
      </c>
      <c r="E37" s="136" t="n">
        <v>0</v>
      </c>
      <c r="F37" s="136" t="n">
        <v>2</v>
      </c>
      <c r="G37" s="64" t="n">
        <f aca="false">WORKDAY(H22,1+E37,$M$6:$M$11)</f>
        <v>46371</v>
      </c>
      <c r="H37" s="64" t="n">
        <f aca="false">WORKDAY(G37,F37-1,$M$6:$M$11)</f>
        <v>46372</v>
      </c>
      <c r="I37" s="136" t="n">
        <v>12</v>
      </c>
      <c r="J37" s="133" t="s">
        <v>693</v>
      </c>
      <c r="K37" s="62" t="s">
        <v>694</v>
      </c>
      <c r="P37" s="129" t="str">
        <f aca="false">IF(ISNUMBER($A37),INDEX('Scope Checklist'!$B:$B,$A37),"")</f>
        <v>Interior - Demo/Structure</v>
      </c>
      <c r="Q37" s="129" t="str">
        <f aca="false">IF(ISNUMBER($A37),INDEX('Scope Checklist'!$E:$E,$A37),"")</f>
        <v>Pending</v>
      </c>
      <c r="R37" s="129" t="n">
        <f aca="false">IF(AND(ISNUMBER($A37),ISNUMBER($I37),ISNUMBER($H37)),$I37,0)</f>
        <v>12</v>
      </c>
      <c r="S37" s="130" t="n">
        <f aca="false">IF(ISNUMBER($G37),$G37,0)</f>
        <v>46371</v>
      </c>
      <c r="T37" s="130" t="n">
        <f aca="false">IF(ISNUMBER($H37),$H37,S37)</f>
        <v>46372</v>
      </c>
      <c r="U37" s="131" t="n">
        <f aca="false">IF(ISNUMBER($A37),IF(Q37="Complete",1,N(INDEX('Scope Checklist'!$I:$I,$A37))),0)</f>
        <v>0</v>
      </c>
      <c r="V37" s="131" t="n">
        <f aca="false">IF(OR(NOT(ISNUMBER($A37)),S37=0),0,IF(Dashboard!$C$4&lt;S37,0,IF(Dashboard!$C$4&gt;=T37,1,NETWORKDAYS(S37,Dashboard!$C$4,$M$6:$M$11)/NETWORKDAYS(S37,T37,$M$6:$M$11))))</f>
        <v>0</v>
      </c>
      <c r="W37" s="129" t="n">
        <f aca="false">R37*U37</f>
        <v>0</v>
      </c>
      <c r="X37" s="129" t="n">
        <f aca="false">R37*V37</f>
        <v>0</v>
      </c>
      <c r="Y37" s="132" t="b">
        <f aca="false">AND(ISNUMBER($A37),ISNUMBER($I37),T37&gt;0,T37&lt;Dashboard!$C$4,U37&lt;1)</f>
        <v>0</v>
      </c>
      <c r="Z37" s="129" t="str">
        <f aca="false">IF(Y37,COUNTIF(Y$6:Y37,TRUE()),"")</f>
        <v/>
      </c>
      <c r="AA37" s="132" t="b">
        <f aca="false">AND(ISNUMBER($A37),ISNUMBER($I37),U37&lt;1,NOT(Y37),S37&gt;0,S37&lt;=WORKDAY(Dashboard!$C$4,10,$M$6:$M$11),T37&gt;=Dashboard!$C$4)</f>
        <v>0</v>
      </c>
      <c r="AB37" s="129" t="str">
        <f aca="false">IF(AA37,COUNTIF(AA$6:AA37,TRUE()),"")</f>
        <v/>
      </c>
    </row>
    <row r="38" customFormat="false" ht="35.05" hidden="false" customHeight="false" outlineLevel="0" collapsed="false">
      <c r="A38" s="133" t="n">
        <v>41</v>
      </c>
      <c r="B38" s="134" t="str">
        <f aca="false">IF('Scope Checklist'!A41="","-",'Scope Checklist'!A41)</f>
        <v>N4</v>
      </c>
      <c r="C38" s="135" t="str">
        <f aca="false">'Scope Checklist'!D41</f>
        <v>Framing + MEP rough-in inspections (pre-cover milestone)</v>
      </c>
      <c r="D38" s="62" t="s">
        <v>695</v>
      </c>
      <c r="E38" s="136" t="n">
        <v>0</v>
      </c>
      <c r="F38" s="136" t="n">
        <v>5</v>
      </c>
      <c r="G38" s="64" t="n">
        <f aca="false">WORKDAY(MAX(H35,H36,H37,H46,H47,H58,H63),1+E38,$M$6:$M$11)</f>
        <v>46387</v>
      </c>
      <c r="H38" s="64" t="n">
        <f aca="false">WORKDAY(G38,F38-1,$M$6:$M$11)</f>
        <v>46394</v>
      </c>
      <c r="I38" s="136" t="n">
        <v>8</v>
      </c>
      <c r="J38" s="133" t="s">
        <v>146</v>
      </c>
      <c r="K38" s="62" t="s">
        <v>696</v>
      </c>
      <c r="P38" s="129" t="str">
        <f aca="false">IF(ISNUMBER($A38),INDEX('Scope Checklist'!$B:$B,$A38),"")</f>
        <v>Interior - Demo/Structure</v>
      </c>
      <c r="Q38" s="129" t="str">
        <f aca="false">IF(ISNUMBER($A38),INDEX('Scope Checklist'!$E:$E,$A38),"")</f>
        <v>Pending</v>
      </c>
      <c r="R38" s="129" t="n">
        <f aca="false">IF(AND(ISNUMBER($A38),ISNUMBER($I38),ISNUMBER($H38)),$I38,0)</f>
        <v>8</v>
      </c>
      <c r="S38" s="130" t="n">
        <f aca="false">IF(ISNUMBER($G38),$G38,0)</f>
        <v>46387</v>
      </c>
      <c r="T38" s="130" t="n">
        <f aca="false">IF(ISNUMBER($H38),$H38,S38)</f>
        <v>46394</v>
      </c>
      <c r="U38" s="131" t="n">
        <f aca="false">IF(ISNUMBER($A38),IF(Q38="Complete",1,N(INDEX('Scope Checklist'!$I:$I,$A38))),0)</f>
        <v>0</v>
      </c>
      <c r="V38" s="131" t="n">
        <f aca="false">IF(OR(NOT(ISNUMBER($A38)),S38=0),0,IF(Dashboard!$C$4&lt;S38,0,IF(Dashboard!$C$4&gt;=T38,1,NETWORKDAYS(S38,Dashboard!$C$4,$M$6:$M$11)/NETWORKDAYS(S38,T38,$M$6:$M$11))))</f>
        <v>0</v>
      </c>
      <c r="W38" s="129" t="n">
        <f aca="false">R38*U38</f>
        <v>0</v>
      </c>
      <c r="X38" s="129" t="n">
        <f aca="false">R38*V38</f>
        <v>0</v>
      </c>
      <c r="Y38" s="132" t="b">
        <f aca="false">AND(ISNUMBER($A38),ISNUMBER($I38),T38&gt;0,T38&lt;Dashboard!$C$4,U38&lt;1)</f>
        <v>0</v>
      </c>
      <c r="Z38" s="129" t="str">
        <f aca="false">IF(Y38,COUNTIF(Y$6:Y38,TRUE()),"")</f>
        <v/>
      </c>
      <c r="AA38" s="132" t="b">
        <f aca="false">AND(ISNUMBER($A38),ISNUMBER($I38),U38&lt;1,NOT(Y38),S38&gt;0,S38&lt;=WORKDAY(Dashboard!$C$4,10,$M$6:$M$11),T38&gt;=Dashboard!$C$4)</f>
        <v>0</v>
      </c>
      <c r="AB38" s="129" t="str">
        <f aca="false">IF(AA38,COUNTIF(AA$6:AA38,TRUE()),"")</f>
        <v/>
      </c>
    </row>
    <row r="39" customFormat="false" ht="15" hidden="false" customHeight="false" outlineLevel="0" collapsed="false">
      <c r="A39" s="133" t="n">
        <v>42</v>
      </c>
      <c r="B39" s="134" t="str">
        <f aca="false">IF('Scope Checklist'!A42="","-",'Scope Checklist'!A42)</f>
        <v>-</v>
      </c>
      <c r="C39" s="135" t="str">
        <f aca="false">'Scope Checklist'!D42</f>
        <v>Drywall repair / install &amp; finish. 2nd phase </v>
      </c>
      <c r="D39" s="62" t="s">
        <v>697</v>
      </c>
      <c r="E39" s="136" t="n">
        <v>0</v>
      </c>
      <c r="F39" s="136" t="n">
        <v>5</v>
      </c>
      <c r="G39" s="64" t="n">
        <f aca="false">WORKDAY(H38,1+E39,$M$6:$M$11)</f>
        <v>46395</v>
      </c>
      <c r="H39" s="64" t="n">
        <f aca="false">WORKDAY(G39,F39-1,$M$6:$M$11)</f>
        <v>46401</v>
      </c>
      <c r="I39" s="136" t="n">
        <v>80</v>
      </c>
      <c r="J39" s="133" t="s">
        <v>184</v>
      </c>
      <c r="K39" s="62" t="s">
        <v>698</v>
      </c>
      <c r="P39" s="129" t="str">
        <f aca="false">IF(ISNUMBER($A39),INDEX('Scope Checklist'!$B:$B,$A39),"")</f>
        <v>Interior - Demo/Structure</v>
      </c>
      <c r="Q39" s="129" t="str">
        <f aca="false">IF(ISNUMBER($A39),INDEX('Scope Checklist'!$E:$E,$A39),"")</f>
        <v>Pending</v>
      </c>
      <c r="R39" s="129" t="n">
        <f aca="false">IF(AND(ISNUMBER($A39),ISNUMBER($I39),ISNUMBER($H39)),$I39,0)</f>
        <v>80</v>
      </c>
      <c r="S39" s="130" t="n">
        <f aca="false">IF(ISNUMBER($G39),$G39,0)</f>
        <v>46395</v>
      </c>
      <c r="T39" s="130" t="n">
        <f aca="false">IF(ISNUMBER($H39),$H39,S39)</f>
        <v>46401</v>
      </c>
      <c r="U39" s="131" t="n">
        <f aca="false">IF(ISNUMBER($A39),IF(Q39="Complete",1,N(INDEX('Scope Checklist'!$I:$I,$A39))),0)</f>
        <v>0</v>
      </c>
      <c r="V39" s="131" t="n">
        <f aca="false">IF(OR(NOT(ISNUMBER($A39)),S39=0),0,IF(Dashboard!$C$4&lt;S39,0,IF(Dashboard!$C$4&gt;=T39,1,NETWORKDAYS(S39,Dashboard!$C$4,$M$6:$M$11)/NETWORKDAYS(S39,T39,$M$6:$M$11))))</f>
        <v>0</v>
      </c>
      <c r="W39" s="129" t="n">
        <f aca="false">R39*U39</f>
        <v>0</v>
      </c>
      <c r="X39" s="129" t="n">
        <f aca="false">R39*V39</f>
        <v>0</v>
      </c>
      <c r="Y39" s="132" t="b">
        <f aca="false">AND(ISNUMBER($A39),ISNUMBER($I39),T39&gt;0,T39&lt;Dashboard!$C$4,U39&lt;1)</f>
        <v>0</v>
      </c>
      <c r="Z39" s="129" t="str">
        <f aca="false">IF(Y39,COUNTIF(Y$6:Y39,TRUE()),"")</f>
        <v/>
      </c>
      <c r="AA39" s="132" t="b">
        <f aca="false">AND(ISNUMBER($A39),ISNUMBER($I39),U39&lt;1,NOT(Y39),S39&gt;0,S39&lt;=WORKDAY(Dashboard!$C$4,10,$M$6:$M$11),T39&gt;=Dashboard!$C$4)</f>
        <v>0</v>
      </c>
      <c r="AB39" s="129" t="str">
        <f aca="false">IF(AA39,COUNTIF(AA$6:AA39,TRUE()),"")</f>
        <v/>
      </c>
    </row>
    <row r="40" customFormat="false" ht="15" hidden="false" customHeight="false" outlineLevel="0" collapsed="false">
      <c r="A40" s="133" t="n">
        <v>43</v>
      </c>
      <c r="B40" s="134" t="str">
        <f aca="false">IF('Scope Checklist'!A43="","-",'Scope Checklist'!A43)</f>
        <v>-</v>
      </c>
      <c r="C40" s="135" t="str">
        <f aca="false">'Scope Checklist'!D43</f>
        <v>Drywall repair / install &amp; finish. Final phase </v>
      </c>
      <c r="D40" s="62" t="s">
        <v>699</v>
      </c>
      <c r="E40" s="136" t="n">
        <v>0</v>
      </c>
      <c r="F40" s="136" t="n">
        <v>5</v>
      </c>
      <c r="G40" s="64" t="n">
        <f aca="false">WORKDAY(H39,1+E40,$M$6:$M$11)</f>
        <v>46402</v>
      </c>
      <c r="H40" s="64" t="n">
        <f aca="false">WORKDAY(G40,F40-1,$M$6:$M$11)</f>
        <v>46408</v>
      </c>
      <c r="I40" s="136" t="n">
        <v>60</v>
      </c>
      <c r="J40" s="133" t="s">
        <v>184</v>
      </c>
      <c r="K40" s="62" t="s">
        <v>700</v>
      </c>
      <c r="P40" s="129" t="str">
        <f aca="false">IF(ISNUMBER($A40),INDEX('Scope Checklist'!$B:$B,$A40),"")</f>
        <v>Interior - Demo/Structure</v>
      </c>
      <c r="Q40" s="129" t="str">
        <f aca="false">IF(ISNUMBER($A40),INDEX('Scope Checklist'!$E:$E,$A40),"")</f>
        <v>Pending</v>
      </c>
      <c r="R40" s="129" t="n">
        <f aca="false">IF(AND(ISNUMBER($A40),ISNUMBER($I40),ISNUMBER($H40)),$I40,0)</f>
        <v>60</v>
      </c>
      <c r="S40" s="130" t="n">
        <f aca="false">IF(ISNUMBER($G40),$G40,0)</f>
        <v>46402</v>
      </c>
      <c r="T40" s="130" t="n">
        <f aca="false">IF(ISNUMBER($H40),$H40,S40)</f>
        <v>46408</v>
      </c>
      <c r="U40" s="131" t="n">
        <f aca="false">IF(ISNUMBER($A40),IF(Q40="Complete",1,N(INDEX('Scope Checklist'!$I:$I,$A40))),0)</f>
        <v>0</v>
      </c>
      <c r="V40" s="131" t="n">
        <f aca="false">IF(OR(NOT(ISNUMBER($A40)),S40=0),0,IF(Dashboard!$C$4&lt;S40,0,IF(Dashboard!$C$4&gt;=T40,1,NETWORKDAYS(S40,Dashboard!$C$4,$M$6:$M$11)/NETWORKDAYS(S40,T40,$M$6:$M$11))))</f>
        <v>0</v>
      </c>
      <c r="W40" s="129" t="n">
        <f aca="false">R40*U40</f>
        <v>0</v>
      </c>
      <c r="X40" s="129" t="n">
        <f aca="false">R40*V40</f>
        <v>0</v>
      </c>
      <c r="Y40" s="132" t="b">
        <f aca="false">AND(ISNUMBER($A40),ISNUMBER($I40),T40&gt;0,T40&lt;Dashboard!$C$4,U40&lt;1)</f>
        <v>0</v>
      </c>
      <c r="Z40" s="129" t="str">
        <f aca="false">IF(Y40,COUNTIF(Y$6:Y40,TRUE()),"")</f>
        <v/>
      </c>
      <c r="AA40" s="132" t="b">
        <f aca="false">AND(ISNUMBER($A40),ISNUMBER($I40),U40&lt;1,NOT(Y40),S40&gt;0,S40&lt;=WORKDAY(Dashboard!$C$4,10,$M$6:$M$11),T40&gt;=Dashboard!$C$4)</f>
        <v>0</v>
      </c>
      <c r="AB40" s="129" t="str">
        <f aca="false">IF(AA40,COUNTIF(AA$6:AA40,TRUE()),"")</f>
        <v/>
      </c>
    </row>
    <row r="41" customFormat="false" ht="15" hidden="false" customHeight="false" outlineLevel="0" collapsed="false">
      <c r="A41" s="133" t="n">
        <v>44</v>
      </c>
      <c r="B41" s="134" t="str">
        <f aca="false">IF('Scope Checklist'!A44="","-",'Scope Checklist'!A44)</f>
        <v>N5</v>
      </c>
      <c r="C41" s="135" t="str">
        <f aca="false">'Scope Checklist'!D44</f>
        <v>Surface prep - primer on walls + ceilings</v>
      </c>
      <c r="D41" s="62" t="s">
        <v>701</v>
      </c>
      <c r="E41" s="136" t="n">
        <v>0</v>
      </c>
      <c r="F41" s="136" t="n">
        <v>3</v>
      </c>
      <c r="G41" s="64" t="n">
        <f aca="false">WORKDAY(H40,1+E41,$M$6:$M$11)</f>
        <v>46409</v>
      </c>
      <c r="H41" s="64" t="n">
        <f aca="false">WORKDAY(G41,F41-1,$M$6:$M$11)</f>
        <v>46413</v>
      </c>
      <c r="I41" s="136" t="n">
        <v>40</v>
      </c>
      <c r="J41" s="133" t="s">
        <v>215</v>
      </c>
      <c r="K41" s="62" t="s">
        <v>702</v>
      </c>
      <c r="P41" s="129" t="str">
        <f aca="false">IF(ISNUMBER($A41),INDEX('Scope Checklist'!$B:$B,$A41),"")</f>
        <v>Interior - Demo/Structure</v>
      </c>
      <c r="Q41" s="129" t="str">
        <f aca="false">IF(ISNUMBER($A41),INDEX('Scope Checklist'!$E:$E,$A41),"")</f>
        <v>Pending</v>
      </c>
      <c r="R41" s="129" t="n">
        <f aca="false">IF(AND(ISNUMBER($A41),ISNUMBER($I41),ISNUMBER($H41)),$I41,0)</f>
        <v>40</v>
      </c>
      <c r="S41" s="130" t="n">
        <f aca="false">IF(ISNUMBER($G41),$G41,0)</f>
        <v>46409</v>
      </c>
      <c r="T41" s="130" t="n">
        <f aca="false">IF(ISNUMBER($H41),$H41,S41)</f>
        <v>46413</v>
      </c>
      <c r="U41" s="131" t="n">
        <f aca="false">IF(ISNUMBER($A41),IF(Q41="Complete",1,N(INDEX('Scope Checklist'!$I:$I,$A41))),0)</f>
        <v>0</v>
      </c>
      <c r="V41" s="131" t="n">
        <f aca="false">IF(OR(NOT(ISNUMBER($A41)),S41=0),0,IF(Dashboard!$C$4&lt;S41,0,IF(Dashboard!$C$4&gt;=T41,1,NETWORKDAYS(S41,Dashboard!$C$4,$M$6:$M$11)/NETWORKDAYS(S41,T41,$M$6:$M$11))))</f>
        <v>0</v>
      </c>
      <c r="W41" s="129" t="n">
        <f aca="false">R41*U41</f>
        <v>0</v>
      </c>
      <c r="X41" s="129" t="n">
        <f aca="false">R41*V41</f>
        <v>0</v>
      </c>
      <c r="Y41" s="132" t="b">
        <f aca="false">AND(ISNUMBER($A41),ISNUMBER($I41),T41&gt;0,T41&lt;Dashboard!$C$4,U41&lt;1)</f>
        <v>0</v>
      </c>
      <c r="Z41" s="129" t="str">
        <f aca="false">IF(Y41,COUNTIF(Y$6:Y41,TRUE()),"")</f>
        <v/>
      </c>
      <c r="AA41" s="132" t="b">
        <f aca="false">AND(ISNUMBER($A41),ISNUMBER($I41),U41&lt;1,NOT(Y41),S41&gt;0,S41&lt;=WORKDAY(Dashboard!$C$4,10,$M$6:$M$11),T41&gt;=Dashboard!$C$4)</f>
        <v>0</v>
      </c>
      <c r="AB41" s="129" t="str">
        <f aca="false">IF(AA41,COUNTIF(AA$6:AA41,TRUE()),"")</f>
        <v/>
      </c>
    </row>
    <row r="42" customFormat="false" ht="15" hidden="false" customHeight="false" outlineLevel="0" collapsed="false">
      <c r="A42" s="59" t="s">
        <v>703</v>
      </c>
      <c r="B42" s="127"/>
      <c r="C42" s="127"/>
      <c r="D42" s="127"/>
      <c r="E42" s="127"/>
      <c r="F42" s="127"/>
      <c r="G42" s="127"/>
      <c r="H42" s="127"/>
      <c r="I42" s="127"/>
      <c r="J42" s="127"/>
      <c r="K42" s="127"/>
      <c r="P42" s="129" t="str">
        <f aca="false">IF(ISNUMBER($A42),INDEX('Scope Checklist'!$B:$B,$A42),"")</f>
        <v/>
      </c>
      <c r="Q42" s="129" t="str">
        <f aca="false">IF(ISNUMBER($A42),INDEX('Scope Checklist'!$E:$E,$A42),"")</f>
        <v/>
      </c>
      <c r="R42" s="129" t="n">
        <f aca="false">IF(AND(ISNUMBER($A42),ISNUMBER($I42),ISNUMBER($H42)),$I42,0)</f>
        <v>0</v>
      </c>
      <c r="S42" s="130" t="n">
        <f aca="false">IF(ISNUMBER($G42),$G42,0)</f>
        <v>0</v>
      </c>
      <c r="T42" s="130" t="n">
        <f aca="false">IF(ISNUMBER($H42),$H42,S42)</f>
        <v>0</v>
      </c>
      <c r="U42" s="131" t="n">
        <f aca="false">IF(ISNUMBER($A42),IF(Q42="Complete",1,N(INDEX('Scope Checklist'!$I:$I,$A42))),0)</f>
        <v>0</v>
      </c>
      <c r="V42" s="131" t="n">
        <f aca="false">IF(OR(NOT(ISNUMBER($A42)),S42=0),0,IF(Dashboard!$C$4&lt;S42,0,IF(Dashboard!$C$4&gt;=T42,1,NETWORKDAYS(S42,Dashboard!$C$4,$M$6:$M$11)/NETWORKDAYS(S42,T42,$M$6:$M$11))))</f>
        <v>0</v>
      </c>
      <c r="W42" s="129" t="n">
        <f aca="false">R42*U42</f>
        <v>0</v>
      </c>
      <c r="X42" s="129" t="n">
        <f aca="false">R42*V42</f>
        <v>0</v>
      </c>
      <c r="Y42" s="132" t="b">
        <f aca="false">AND(ISNUMBER($A42),ISNUMBER($I42),T42&gt;0,T42&lt;Dashboard!$C$4,U42&lt;1)</f>
        <v>0</v>
      </c>
      <c r="Z42" s="129" t="str">
        <f aca="false">IF(Y42,COUNTIF(Y$6:Y42,TRUE()),"")</f>
        <v/>
      </c>
      <c r="AA42" s="132" t="b">
        <f aca="false">AND(ISNUMBER($A42),ISNUMBER($I42),U42&lt;1,NOT(Y42),S42&gt;0,S42&lt;=WORKDAY(Dashboard!$C$4,10,$M$6:$M$11),T42&gt;=Dashboard!$C$4)</f>
        <v>0</v>
      </c>
      <c r="AB42" s="129" t="str">
        <f aca="false">IF(AA42,COUNTIF(AA$6:AA42,TRUE()),"")</f>
        <v/>
      </c>
    </row>
    <row r="43" customFormat="false" ht="23.85" hidden="false" customHeight="false" outlineLevel="0" collapsed="false">
      <c r="A43" s="137" t="s">
        <v>124</v>
      </c>
      <c r="B43" s="138" t="s">
        <v>124</v>
      </c>
      <c r="C43" s="139" t="s">
        <v>704</v>
      </c>
      <c r="D43" s="140" t="s">
        <v>705</v>
      </c>
      <c r="E43" s="141" t="n">
        <v>0</v>
      </c>
      <c r="F43" s="142" t="n">
        <v>1</v>
      </c>
      <c r="G43" s="143" t="n">
        <f aca="false">WORKDAY(MAX(H73,H93,H109,H90,H120),1+E43,$M$6:$M$11)</f>
        <v>46450</v>
      </c>
      <c r="H43" s="143" t="n">
        <f aca="false">WORKDAY(G43,F43-1,$M$6:$M$11)</f>
        <v>46450</v>
      </c>
      <c r="I43" s="137" t="s">
        <v>124</v>
      </c>
      <c r="J43" s="137" t="s">
        <v>146</v>
      </c>
      <c r="K43" s="140" t="s">
        <v>706</v>
      </c>
      <c r="P43" s="129" t="str">
        <f aca="false">IF(ISNUMBER($A43),INDEX('Scope Checklist'!$B:$B,$A43),"")</f>
        <v/>
      </c>
      <c r="Q43" s="129" t="str">
        <f aca="false">IF(ISNUMBER($A43),INDEX('Scope Checklist'!$E:$E,$A43),"")</f>
        <v/>
      </c>
      <c r="R43" s="129" t="n">
        <f aca="false">IF(AND(ISNUMBER($A43),ISNUMBER($I43),ISNUMBER($H43)),$I43,0)</f>
        <v>0</v>
      </c>
      <c r="S43" s="130" t="n">
        <f aca="false">IF(ISNUMBER($G43),$G43,0)</f>
        <v>46450</v>
      </c>
      <c r="T43" s="130" t="n">
        <f aca="false">IF(ISNUMBER($H43),$H43,S43)</f>
        <v>46450</v>
      </c>
      <c r="U43" s="131" t="n">
        <f aca="false">IF(ISNUMBER($A43),IF(Q43="Complete",1,N(INDEX('Scope Checklist'!$I:$I,$A43))),0)</f>
        <v>0</v>
      </c>
      <c r="V43" s="131" t="n">
        <f aca="false">IF(OR(NOT(ISNUMBER($A43)),S43=0),0,IF(Dashboard!$C$4&lt;S43,0,IF(Dashboard!$C$4&gt;=T43,1,NETWORKDAYS(S43,Dashboard!$C$4,$M$6:$M$11)/NETWORKDAYS(S43,T43,$M$6:$M$11))))</f>
        <v>0</v>
      </c>
      <c r="W43" s="129" t="n">
        <f aca="false">R43*U43</f>
        <v>0</v>
      </c>
      <c r="X43" s="129" t="n">
        <f aca="false">R43*V43</f>
        <v>0</v>
      </c>
      <c r="Y43" s="132" t="b">
        <f aca="false">AND(ISNUMBER($A43),ISNUMBER($I43),T43&gt;0,T43&lt;Dashboard!$C$4,U43&lt;1)</f>
        <v>0</v>
      </c>
      <c r="Z43" s="129" t="str">
        <f aca="false">IF(Y43,COUNTIF(Y$6:Y43,TRUE()),"")</f>
        <v/>
      </c>
      <c r="AA43" s="132" t="b">
        <f aca="false">AND(ISNUMBER($A43),ISNUMBER($I43),U43&lt;1,NOT(Y43),S43&gt;0,S43&lt;=WORKDAY(Dashboard!$C$4,10,$M$6:$M$11),T43&gt;=Dashboard!$C$4)</f>
        <v>0</v>
      </c>
      <c r="AB43" s="129" t="str">
        <f aca="false">IF(AA43,COUNTIF(AA$6:AA43,TRUE()),"")</f>
        <v/>
      </c>
    </row>
    <row r="44" customFormat="false" ht="15" hidden="false" customHeight="false" outlineLevel="0" collapsed="false">
      <c r="A44" s="59" t="s">
        <v>219</v>
      </c>
      <c r="B44" s="127"/>
      <c r="C44" s="127"/>
      <c r="D44" s="127"/>
      <c r="E44" s="127"/>
      <c r="F44" s="127"/>
      <c r="G44" s="127"/>
      <c r="H44" s="127"/>
      <c r="I44" s="127"/>
      <c r="J44" s="127"/>
      <c r="K44" s="127"/>
      <c r="P44" s="129" t="str">
        <f aca="false">IF(ISNUMBER($A44),INDEX('Scope Checklist'!$B:$B,$A44),"")</f>
        <v/>
      </c>
      <c r="Q44" s="129" t="str">
        <f aca="false">IF(ISNUMBER($A44),INDEX('Scope Checklist'!$E:$E,$A44),"")</f>
        <v/>
      </c>
      <c r="R44" s="129" t="n">
        <f aca="false">IF(AND(ISNUMBER($A44),ISNUMBER($I44),ISNUMBER($H44)),$I44,0)</f>
        <v>0</v>
      </c>
      <c r="S44" s="130" t="n">
        <f aca="false">IF(ISNUMBER($G44),$G44,0)</f>
        <v>0</v>
      </c>
      <c r="T44" s="130" t="n">
        <f aca="false">IF(ISNUMBER($H44),$H44,S44)</f>
        <v>0</v>
      </c>
      <c r="U44" s="131" t="n">
        <f aca="false">IF(ISNUMBER($A44),IF(Q44="Complete",1,N(INDEX('Scope Checklist'!$I:$I,$A44))),0)</f>
        <v>0</v>
      </c>
      <c r="V44" s="131" t="n">
        <f aca="false">IF(OR(NOT(ISNUMBER($A44)),S44=0),0,IF(Dashboard!$C$4&lt;S44,0,IF(Dashboard!$C$4&gt;=T44,1,NETWORKDAYS(S44,Dashboard!$C$4,$M$6:$M$11)/NETWORKDAYS(S44,T44,$M$6:$M$11))))</f>
        <v>0</v>
      </c>
      <c r="W44" s="129" t="n">
        <f aca="false">R44*U44</f>
        <v>0</v>
      </c>
      <c r="X44" s="129" t="n">
        <f aca="false">R44*V44</f>
        <v>0</v>
      </c>
      <c r="Y44" s="132" t="b">
        <f aca="false">AND(ISNUMBER($A44),ISNUMBER($I44),T44&gt;0,T44&lt;Dashboard!$C$4,U44&lt;1)</f>
        <v>0</v>
      </c>
      <c r="Z44" s="129" t="str">
        <f aca="false">IF(Y44,COUNTIF(Y$6:Y44,TRUE()),"")</f>
        <v/>
      </c>
      <c r="AA44" s="132" t="b">
        <f aca="false">AND(ISNUMBER($A44),ISNUMBER($I44),U44&lt;1,NOT(Y44),S44&gt;0,S44&lt;=WORKDAY(Dashboard!$C$4,10,$M$6:$M$11),T44&gt;=Dashboard!$C$4)</f>
        <v>0</v>
      </c>
      <c r="AB44" s="129" t="str">
        <f aca="false">IF(AA44,COUNTIF(AA$6:AA44,TRUE()),"")</f>
        <v/>
      </c>
    </row>
    <row r="45" customFormat="false" ht="15" hidden="false" customHeight="false" outlineLevel="0" collapsed="false">
      <c r="A45" s="133" t="n">
        <v>48</v>
      </c>
      <c r="B45" s="134" t="str">
        <f aca="false">IF('Scope Checklist'!A48="","-",'Scope Checklist'!A48)</f>
        <v>N6</v>
      </c>
      <c r="C45" s="135" t="str">
        <f aca="false">'Scope Checklist'!D48</f>
        <v>Make-safe exposed wiring from demolition (cap, label, temp lighting)</v>
      </c>
      <c r="D45" s="62" t="s">
        <v>707</v>
      </c>
      <c r="E45" s="136" t="n">
        <v>0</v>
      </c>
      <c r="F45" s="136" t="n">
        <v>1</v>
      </c>
      <c r="G45" s="64" t="n">
        <f aca="false">$C$3</f>
        <v>46300</v>
      </c>
      <c r="H45" s="64" t="n">
        <f aca="false">WORKDAY(G45,F45-1,$M$6:$M$11)</f>
        <v>46300</v>
      </c>
      <c r="I45" s="136" t="n">
        <v>6</v>
      </c>
      <c r="J45" s="133" t="s">
        <v>194</v>
      </c>
      <c r="K45" s="62" t="s">
        <v>708</v>
      </c>
      <c r="P45" s="129" t="str">
        <f aca="false">IF(ISNUMBER($A45),INDEX('Scope Checklist'!$B:$B,$A45),"")</f>
        <v>Interior - Electrical</v>
      </c>
      <c r="Q45" s="129" t="str">
        <f aca="false">IF(ISNUMBER($A45),INDEX('Scope Checklist'!$E:$E,$A45),"")</f>
        <v>Pending</v>
      </c>
      <c r="R45" s="129" t="n">
        <f aca="false">IF(AND(ISNUMBER($A45),ISNUMBER($I45),ISNUMBER($H45)),$I45,0)</f>
        <v>6</v>
      </c>
      <c r="S45" s="130" t="n">
        <f aca="false">IF(ISNUMBER($G45),$G45,0)</f>
        <v>46300</v>
      </c>
      <c r="T45" s="130" t="n">
        <f aca="false">IF(ISNUMBER($H45),$H45,S45)</f>
        <v>46300</v>
      </c>
      <c r="U45" s="131" t="n">
        <f aca="false">IF(ISNUMBER($A45),IF(Q45="Complete",1,N(INDEX('Scope Checklist'!$I:$I,$A45))),0)</f>
        <v>0</v>
      </c>
      <c r="V45" s="131" t="n">
        <f aca="false">IF(OR(NOT(ISNUMBER($A45)),S45=0),0,IF(Dashboard!$C$4&lt;S45,0,IF(Dashboard!$C$4&gt;=T45,1,NETWORKDAYS(S45,Dashboard!$C$4,$M$6:$M$11)/NETWORKDAYS(S45,T45,$M$6:$M$11))))</f>
        <v>0</v>
      </c>
      <c r="W45" s="129" t="n">
        <f aca="false">R45*U45</f>
        <v>0</v>
      </c>
      <c r="X45" s="129" t="n">
        <f aca="false">R45*V45</f>
        <v>0</v>
      </c>
      <c r="Y45" s="132" t="b">
        <f aca="false">AND(ISNUMBER($A45),ISNUMBER($I45),T45&gt;0,T45&lt;Dashboard!$C$4,U45&lt;1)</f>
        <v>0</v>
      </c>
      <c r="Z45" s="129" t="str">
        <f aca="false">IF(Y45,COUNTIF(Y$6:Y45,TRUE()),"")</f>
        <v/>
      </c>
      <c r="AA45" s="132" t="b">
        <f aca="false">AND(ISNUMBER($A45),ISNUMBER($I45),U45&lt;1,NOT(Y45),S45&gt;0,S45&lt;=WORKDAY(Dashboard!$C$4,10,$M$6:$M$11),T45&gt;=Dashboard!$C$4)</f>
        <v>1</v>
      </c>
      <c r="AB45" s="129" t="n">
        <f aca="false">IF(AA45,COUNTIF(AA$6:AA45,TRUE()),"")</f>
        <v>8</v>
      </c>
    </row>
    <row r="46" customFormat="false" ht="15" hidden="false" customHeight="false" outlineLevel="0" collapsed="false">
      <c r="A46" s="133" t="n">
        <v>49</v>
      </c>
      <c r="B46" s="134" t="n">
        <f aca="false">IF('Scope Checklist'!A49="","-",'Scope Checklist'!A49)</f>
        <v>60</v>
      </c>
      <c r="C46" s="135" t="str">
        <f aca="false">'Scope Checklist'!D49</f>
        <v>Electrical panel change out</v>
      </c>
      <c r="D46" s="62" t="s">
        <v>709</v>
      </c>
      <c r="E46" s="136" t="n">
        <v>0</v>
      </c>
      <c r="F46" s="136" t="n">
        <v>2</v>
      </c>
      <c r="G46" s="64" t="n">
        <f aca="false">WORKDAY(H23,1+E46,$M$6:$M$11)</f>
        <v>46371</v>
      </c>
      <c r="H46" s="64" t="n">
        <f aca="false">WORKDAY(G46,F46-1,$M$6:$M$11)</f>
        <v>46372</v>
      </c>
      <c r="I46" s="136" t="n">
        <v>12</v>
      </c>
      <c r="J46" s="133" t="s">
        <v>164</v>
      </c>
      <c r="K46" s="62" t="s">
        <v>710</v>
      </c>
      <c r="P46" s="129" t="str">
        <f aca="false">IF(ISNUMBER($A46),INDEX('Scope Checklist'!$B:$B,$A46),"")</f>
        <v>Interior - Electrical</v>
      </c>
      <c r="Q46" s="129" t="str">
        <f aca="false">IF(ISNUMBER($A46),INDEX('Scope Checklist'!$E:$E,$A46),"")</f>
        <v>In Progress</v>
      </c>
      <c r="R46" s="129" t="n">
        <f aca="false">IF(AND(ISNUMBER($A46),ISNUMBER($I46),ISNUMBER($H46)),$I46,0)</f>
        <v>12</v>
      </c>
      <c r="S46" s="130" t="n">
        <f aca="false">IF(ISNUMBER($G46),$G46,0)</f>
        <v>46371</v>
      </c>
      <c r="T46" s="130" t="n">
        <f aca="false">IF(ISNUMBER($H46),$H46,S46)</f>
        <v>46372</v>
      </c>
      <c r="U46" s="131" t="n">
        <f aca="false">IF(ISNUMBER($A46),IF(Q46="Complete",1,N(INDEX('Scope Checklist'!$I:$I,$A46))),0)</f>
        <v>0</v>
      </c>
      <c r="V46" s="131" t="n">
        <f aca="false">IF(OR(NOT(ISNUMBER($A46)),S46=0),0,IF(Dashboard!$C$4&lt;S46,0,IF(Dashboard!$C$4&gt;=T46,1,NETWORKDAYS(S46,Dashboard!$C$4,$M$6:$M$11)/NETWORKDAYS(S46,T46,$M$6:$M$11))))</f>
        <v>0</v>
      </c>
      <c r="W46" s="129" t="n">
        <f aca="false">R46*U46</f>
        <v>0</v>
      </c>
      <c r="X46" s="129" t="n">
        <f aca="false">R46*V46</f>
        <v>0</v>
      </c>
      <c r="Y46" s="132" t="b">
        <f aca="false">AND(ISNUMBER($A46),ISNUMBER($I46),T46&gt;0,T46&lt;Dashboard!$C$4,U46&lt;1)</f>
        <v>0</v>
      </c>
      <c r="Z46" s="129" t="str">
        <f aca="false">IF(Y46,COUNTIF(Y$6:Y46,TRUE()),"")</f>
        <v/>
      </c>
      <c r="AA46" s="132" t="b">
        <f aca="false">AND(ISNUMBER($A46),ISNUMBER($I46),U46&lt;1,NOT(Y46),S46&gt;0,S46&lt;=WORKDAY(Dashboard!$C$4,10,$M$6:$M$11),T46&gt;=Dashboard!$C$4)</f>
        <v>0</v>
      </c>
      <c r="AB46" s="129" t="str">
        <f aca="false">IF(AA46,COUNTIF(AA$6:AA46,TRUE()),"")</f>
        <v/>
      </c>
    </row>
    <row r="47" customFormat="false" ht="15" hidden="false" customHeight="false" outlineLevel="0" collapsed="false">
      <c r="A47" s="133" t="n">
        <v>50</v>
      </c>
      <c r="B47" s="134" t="str">
        <f aca="false">IF('Scope Checklist'!A50="","-",'Scope Checklist'!A50)</f>
        <v>N7</v>
      </c>
      <c r="C47" s="135" t="str">
        <f aca="false">'Scope Checklist'!D50</f>
        <v>Electrical rough-in - relocated boxes, new kitchen/bath circuits</v>
      </c>
      <c r="D47" s="62" t="s">
        <v>711</v>
      </c>
      <c r="E47" s="136" t="n">
        <v>0</v>
      </c>
      <c r="F47" s="136" t="n">
        <v>5</v>
      </c>
      <c r="G47" s="64" t="n">
        <f aca="false">WORKDAY(MAX(H23,H35,H45),1+E47,$M$6:$M$11)</f>
        <v>46378</v>
      </c>
      <c r="H47" s="64" t="n">
        <f aca="false">WORKDAY(G47,F47-1,$M$6:$M$11)</f>
        <v>46386</v>
      </c>
      <c r="I47" s="136" t="n">
        <v>60</v>
      </c>
      <c r="J47" s="133" t="s">
        <v>194</v>
      </c>
      <c r="K47" s="62" t="s">
        <v>712</v>
      </c>
      <c r="P47" s="129" t="str">
        <f aca="false">IF(ISNUMBER($A47),INDEX('Scope Checklist'!$B:$B,$A47),"")</f>
        <v>Interior - Electrical</v>
      </c>
      <c r="Q47" s="129" t="str">
        <f aca="false">IF(ISNUMBER($A47),INDEX('Scope Checklist'!$E:$E,$A47),"")</f>
        <v>Pending</v>
      </c>
      <c r="R47" s="129" t="n">
        <f aca="false">IF(AND(ISNUMBER($A47),ISNUMBER($I47),ISNUMBER($H47)),$I47,0)</f>
        <v>60</v>
      </c>
      <c r="S47" s="130" t="n">
        <f aca="false">IF(ISNUMBER($G47),$G47,0)</f>
        <v>46378</v>
      </c>
      <c r="T47" s="130" t="n">
        <f aca="false">IF(ISNUMBER($H47),$H47,S47)</f>
        <v>46386</v>
      </c>
      <c r="U47" s="131" t="n">
        <f aca="false">IF(ISNUMBER($A47),IF(Q47="Complete",1,N(INDEX('Scope Checklist'!$I:$I,$A47))),0)</f>
        <v>0</v>
      </c>
      <c r="V47" s="131" t="n">
        <f aca="false">IF(OR(NOT(ISNUMBER($A47)),S47=0),0,IF(Dashboard!$C$4&lt;S47,0,IF(Dashboard!$C$4&gt;=T47,1,NETWORKDAYS(S47,Dashboard!$C$4,$M$6:$M$11)/NETWORKDAYS(S47,T47,$M$6:$M$11))))</f>
        <v>0</v>
      </c>
      <c r="W47" s="129" t="n">
        <f aca="false">R47*U47</f>
        <v>0</v>
      </c>
      <c r="X47" s="129" t="n">
        <f aca="false">R47*V47</f>
        <v>0</v>
      </c>
      <c r="Y47" s="132" t="b">
        <f aca="false">AND(ISNUMBER($A47),ISNUMBER($I47),T47&gt;0,T47&lt;Dashboard!$C$4,U47&lt;1)</f>
        <v>0</v>
      </c>
      <c r="Z47" s="129" t="str">
        <f aca="false">IF(Y47,COUNTIF(Y$6:Y47,TRUE()),"")</f>
        <v/>
      </c>
      <c r="AA47" s="132" t="b">
        <f aca="false">AND(ISNUMBER($A47),ISNUMBER($I47),U47&lt;1,NOT(Y47),S47&gt;0,S47&lt;=WORKDAY(Dashboard!$C$4,10,$M$6:$M$11),T47&gt;=Dashboard!$C$4)</f>
        <v>0</v>
      </c>
      <c r="AB47" s="129" t="str">
        <f aca="false">IF(AA47,COUNTIF(AA$6:AA47,TRUE()),"")</f>
        <v/>
      </c>
    </row>
    <row r="48" customFormat="false" ht="15" hidden="false" customHeight="false" outlineLevel="0" collapsed="false">
      <c r="A48" s="133" t="n">
        <v>51</v>
      </c>
      <c r="B48" s="134" t="n">
        <f aca="false">IF('Scope Checklist'!A51="","-",'Scope Checklist'!A51)</f>
        <v>61</v>
      </c>
      <c r="C48" s="135" t="str">
        <f aca="false">'Scope Checklist'!D51</f>
        <v>Outlets, switches, GFCI/AFCI</v>
      </c>
      <c r="D48" s="62" t="s">
        <v>713</v>
      </c>
      <c r="E48" s="136" t="n">
        <v>0</v>
      </c>
      <c r="F48" s="136" t="n">
        <v>3</v>
      </c>
      <c r="G48" s="64" t="n">
        <f aca="false">WORKDAY(H43,1+E48,$M$6:$M$11)</f>
        <v>46451</v>
      </c>
      <c r="H48" s="64" t="n">
        <f aca="false">WORKDAY(G48,F48-1,$M$6:$M$11)</f>
        <v>46455</v>
      </c>
      <c r="I48" s="136" t="n">
        <v>24</v>
      </c>
      <c r="J48" s="133" t="s">
        <v>194</v>
      </c>
      <c r="K48" s="62" t="s">
        <v>714</v>
      </c>
      <c r="P48" s="129" t="str">
        <f aca="false">IF(ISNUMBER($A48),INDEX('Scope Checklist'!$B:$B,$A48),"")</f>
        <v>Interior - Electrical</v>
      </c>
      <c r="Q48" s="129" t="str">
        <f aca="false">IF(ISNUMBER($A48),INDEX('Scope Checklist'!$E:$E,$A48),"")</f>
        <v>Pending</v>
      </c>
      <c r="R48" s="129" t="n">
        <f aca="false">IF(AND(ISNUMBER($A48),ISNUMBER($I48),ISNUMBER($H48)),$I48,0)</f>
        <v>24</v>
      </c>
      <c r="S48" s="130" t="n">
        <f aca="false">IF(ISNUMBER($G48),$G48,0)</f>
        <v>46451</v>
      </c>
      <c r="T48" s="130" t="n">
        <f aca="false">IF(ISNUMBER($H48),$H48,S48)</f>
        <v>46455</v>
      </c>
      <c r="U48" s="131" t="n">
        <f aca="false">IF(ISNUMBER($A48),IF(Q48="Complete",1,N(INDEX('Scope Checklist'!$I:$I,$A48))),0)</f>
        <v>0</v>
      </c>
      <c r="V48" s="131" t="n">
        <f aca="false">IF(OR(NOT(ISNUMBER($A48)),S48=0),0,IF(Dashboard!$C$4&lt;S48,0,IF(Dashboard!$C$4&gt;=T48,1,NETWORKDAYS(S48,Dashboard!$C$4,$M$6:$M$11)/NETWORKDAYS(S48,T48,$M$6:$M$11))))</f>
        <v>0</v>
      </c>
      <c r="W48" s="129" t="n">
        <f aca="false">R48*U48</f>
        <v>0</v>
      </c>
      <c r="X48" s="129" t="n">
        <f aca="false">R48*V48</f>
        <v>0</v>
      </c>
      <c r="Y48" s="132" t="b">
        <f aca="false">AND(ISNUMBER($A48),ISNUMBER($I48),T48&gt;0,T48&lt;Dashboard!$C$4,U48&lt;1)</f>
        <v>0</v>
      </c>
      <c r="Z48" s="129" t="str">
        <f aca="false">IF(Y48,COUNTIF(Y$6:Y48,TRUE()),"")</f>
        <v/>
      </c>
      <c r="AA48" s="132" t="b">
        <f aca="false">AND(ISNUMBER($A48),ISNUMBER($I48),U48&lt;1,NOT(Y48),S48&gt;0,S48&lt;=WORKDAY(Dashboard!$C$4,10,$M$6:$M$11),T48&gt;=Dashboard!$C$4)</f>
        <v>0</v>
      </c>
      <c r="AB48" s="129" t="str">
        <f aca="false">IF(AA48,COUNTIF(AA$6:AA48,TRUE()),"")</f>
        <v/>
      </c>
    </row>
    <row r="49" customFormat="false" ht="15" hidden="false" customHeight="false" outlineLevel="0" collapsed="false">
      <c r="A49" s="133" t="n">
        <v>52</v>
      </c>
      <c r="B49" s="134" t="n">
        <f aca="false">IF('Scope Checklist'!A52="","-",'Scope Checklist'!A52)</f>
        <v>62</v>
      </c>
      <c r="C49" s="135" t="str">
        <f aca="false">'Scope Checklist'!D52</f>
        <v>Recessed lighting (LED)</v>
      </c>
      <c r="D49" s="62" t="s">
        <v>715</v>
      </c>
      <c r="E49" s="136" t="n">
        <v>0</v>
      </c>
      <c r="F49" s="136" t="n">
        <v>2</v>
      </c>
      <c r="G49" s="64" t="n">
        <f aca="false">WORKDAY(G48,E49,$M$6:$M$11)</f>
        <v>46451</v>
      </c>
      <c r="H49" s="64" t="n">
        <f aca="false">WORKDAY(G49,F49-1,$M$6:$M$11)</f>
        <v>46454</v>
      </c>
      <c r="I49" s="136" t="n">
        <v>12</v>
      </c>
      <c r="J49" s="133" t="s">
        <v>194</v>
      </c>
      <c r="K49" s="62" t="s">
        <v>716</v>
      </c>
      <c r="P49" s="129" t="str">
        <f aca="false">IF(ISNUMBER($A49),INDEX('Scope Checklist'!$B:$B,$A49),"")</f>
        <v>Interior - Electrical</v>
      </c>
      <c r="Q49" s="129" t="str">
        <f aca="false">IF(ISNUMBER($A49),INDEX('Scope Checklist'!$E:$E,$A49),"")</f>
        <v>In Progress</v>
      </c>
      <c r="R49" s="129" t="n">
        <f aca="false">IF(AND(ISNUMBER($A49),ISNUMBER($I49),ISNUMBER($H49)),$I49,0)</f>
        <v>12</v>
      </c>
      <c r="S49" s="130" t="n">
        <f aca="false">IF(ISNUMBER($G49),$G49,0)</f>
        <v>46451</v>
      </c>
      <c r="T49" s="130" t="n">
        <f aca="false">IF(ISNUMBER($H49),$H49,S49)</f>
        <v>46454</v>
      </c>
      <c r="U49" s="131" t="n">
        <f aca="false">IF(ISNUMBER($A49),IF(Q49="Complete",1,N(INDEX('Scope Checklist'!$I:$I,$A49))),0)</f>
        <v>0</v>
      </c>
      <c r="V49" s="131" t="n">
        <f aca="false">IF(OR(NOT(ISNUMBER($A49)),S49=0),0,IF(Dashboard!$C$4&lt;S49,0,IF(Dashboard!$C$4&gt;=T49,1,NETWORKDAYS(S49,Dashboard!$C$4,$M$6:$M$11)/NETWORKDAYS(S49,T49,$M$6:$M$11))))</f>
        <v>0</v>
      </c>
      <c r="W49" s="129" t="n">
        <f aca="false">R49*U49</f>
        <v>0</v>
      </c>
      <c r="X49" s="129" t="n">
        <f aca="false">R49*V49</f>
        <v>0</v>
      </c>
      <c r="Y49" s="132" t="b">
        <f aca="false">AND(ISNUMBER($A49),ISNUMBER($I49),T49&gt;0,T49&lt;Dashboard!$C$4,U49&lt;1)</f>
        <v>0</v>
      </c>
      <c r="Z49" s="129" t="str">
        <f aca="false">IF(Y49,COUNTIF(Y$6:Y49,TRUE()),"")</f>
        <v/>
      </c>
      <c r="AA49" s="132" t="b">
        <f aca="false">AND(ISNUMBER($A49),ISNUMBER($I49),U49&lt;1,NOT(Y49),S49&gt;0,S49&lt;=WORKDAY(Dashboard!$C$4,10,$M$6:$M$11),T49&gt;=Dashboard!$C$4)</f>
        <v>0</v>
      </c>
      <c r="AB49" s="129" t="str">
        <f aca="false">IF(AA49,COUNTIF(AA$6:AA49,TRUE()),"")</f>
        <v/>
      </c>
    </row>
    <row r="50" customFormat="false" ht="15" hidden="false" customHeight="false" outlineLevel="0" collapsed="false">
      <c r="A50" s="133" t="n">
        <v>53</v>
      </c>
      <c r="B50" s="134" t="n">
        <f aca="false">IF('Scope Checklist'!A53="","-",'Scope Checklist'!A53)</f>
        <v>63</v>
      </c>
      <c r="C50" s="135" t="str">
        <f aca="false">'Scope Checklist'!D53</f>
        <v>Ceiling fans</v>
      </c>
      <c r="D50" s="62" t="s">
        <v>717</v>
      </c>
      <c r="E50" s="136" t="n">
        <v>1</v>
      </c>
      <c r="F50" s="136" t="n">
        <v>2</v>
      </c>
      <c r="G50" s="64" t="n">
        <f aca="false">WORKDAY(G48,E50,$M$6:$M$11)</f>
        <v>46454</v>
      </c>
      <c r="H50" s="64" t="n">
        <f aca="false">WORKDAY(G50,F50-1,$M$6:$M$11)</f>
        <v>46455</v>
      </c>
      <c r="I50" s="136" t="n">
        <v>12</v>
      </c>
      <c r="J50" s="133" t="s">
        <v>194</v>
      </c>
      <c r="K50" s="62" t="s">
        <v>718</v>
      </c>
      <c r="P50" s="129" t="str">
        <f aca="false">IF(ISNUMBER($A50),INDEX('Scope Checklist'!$B:$B,$A50),"")</f>
        <v>Interior - Electrical</v>
      </c>
      <c r="Q50" s="129" t="str">
        <f aca="false">IF(ISNUMBER($A50),INDEX('Scope Checklist'!$E:$E,$A50),"")</f>
        <v>Pending</v>
      </c>
      <c r="R50" s="129" t="n">
        <f aca="false">IF(AND(ISNUMBER($A50),ISNUMBER($I50),ISNUMBER($H50)),$I50,0)</f>
        <v>12</v>
      </c>
      <c r="S50" s="130" t="n">
        <f aca="false">IF(ISNUMBER($G50),$G50,0)</f>
        <v>46454</v>
      </c>
      <c r="T50" s="130" t="n">
        <f aca="false">IF(ISNUMBER($H50),$H50,S50)</f>
        <v>46455</v>
      </c>
      <c r="U50" s="131" t="n">
        <f aca="false">IF(ISNUMBER($A50),IF(Q50="Complete",1,N(INDEX('Scope Checklist'!$I:$I,$A50))),0)</f>
        <v>0</v>
      </c>
      <c r="V50" s="131" t="n">
        <f aca="false">IF(OR(NOT(ISNUMBER($A50)),S50=0),0,IF(Dashboard!$C$4&lt;S50,0,IF(Dashboard!$C$4&gt;=T50,1,NETWORKDAYS(S50,Dashboard!$C$4,$M$6:$M$11)/NETWORKDAYS(S50,T50,$M$6:$M$11))))</f>
        <v>0</v>
      </c>
      <c r="W50" s="129" t="n">
        <f aca="false">R50*U50</f>
        <v>0</v>
      </c>
      <c r="X50" s="129" t="n">
        <f aca="false">R50*V50</f>
        <v>0</v>
      </c>
      <c r="Y50" s="132" t="b">
        <f aca="false">AND(ISNUMBER($A50),ISNUMBER($I50),T50&gt;0,T50&lt;Dashboard!$C$4,U50&lt;1)</f>
        <v>0</v>
      </c>
      <c r="Z50" s="129" t="str">
        <f aca="false">IF(Y50,COUNTIF(Y$6:Y50,TRUE()),"")</f>
        <v/>
      </c>
      <c r="AA50" s="132" t="b">
        <f aca="false">AND(ISNUMBER($A50),ISNUMBER($I50),U50&lt;1,NOT(Y50),S50&gt;0,S50&lt;=WORKDAY(Dashboard!$C$4,10,$M$6:$M$11),T50&gt;=Dashboard!$C$4)</f>
        <v>0</v>
      </c>
      <c r="AB50" s="129" t="str">
        <f aca="false">IF(AA50,COUNTIF(AA$6:AA50,TRUE()),"")</f>
        <v/>
      </c>
    </row>
    <row r="51" customFormat="false" ht="15" hidden="false" customHeight="false" outlineLevel="0" collapsed="false">
      <c r="A51" s="133" t="n">
        <v>54</v>
      </c>
      <c r="B51" s="134" t="n">
        <f aca="false">IF('Scope Checklist'!A54="","-",'Scope Checklist'!A54)</f>
        <v>64</v>
      </c>
      <c r="C51" s="135" t="str">
        <f aca="false">'Scope Checklist'!D54</f>
        <v>Dining fixture (kitchen chandelier)</v>
      </c>
      <c r="D51" s="62" t="s">
        <v>719</v>
      </c>
      <c r="E51" s="136" t="n">
        <v>2</v>
      </c>
      <c r="F51" s="136" t="n">
        <v>1</v>
      </c>
      <c r="G51" s="64" t="n">
        <f aca="false">WORKDAY(G48,E51,$M$6:$M$11)</f>
        <v>46455</v>
      </c>
      <c r="H51" s="64" t="n">
        <f aca="false">WORKDAY(G51,F51-1,$M$6:$M$11)</f>
        <v>46455</v>
      </c>
      <c r="I51" s="136" t="n">
        <v>3</v>
      </c>
      <c r="J51" s="133" t="s">
        <v>194</v>
      </c>
      <c r="K51" s="62" t="s">
        <v>720</v>
      </c>
      <c r="P51" s="129" t="str">
        <f aca="false">IF(ISNUMBER($A51),INDEX('Scope Checklist'!$B:$B,$A51),"")</f>
        <v>Interior - Electrical</v>
      </c>
      <c r="Q51" s="129" t="str">
        <f aca="false">IF(ISNUMBER($A51),INDEX('Scope Checklist'!$E:$E,$A51),"")</f>
        <v>Pending</v>
      </c>
      <c r="R51" s="129" t="n">
        <f aca="false">IF(AND(ISNUMBER($A51),ISNUMBER($I51),ISNUMBER($H51)),$I51,0)</f>
        <v>3</v>
      </c>
      <c r="S51" s="130" t="n">
        <f aca="false">IF(ISNUMBER($G51),$G51,0)</f>
        <v>46455</v>
      </c>
      <c r="T51" s="130" t="n">
        <f aca="false">IF(ISNUMBER($H51),$H51,S51)</f>
        <v>46455</v>
      </c>
      <c r="U51" s="131" t="n">
        <f aca="false">IF(ISNUMBER($A51),IF(Q51="Complete",1,N(INDEX('Scope Checklist'!$I:$I,$A51))),0)</f>
        <v>0</v>
      </c>
      <c r="V51" s="131" t="n">
        <f aca="false">IF(OR(NOT(ISNUMBER($A51)),S51=0),0,IF(Dashboard!$C$4&lt;S51,0,IF(Dashboard!$C$4&gt;=T51,1,NETWORKDAYS(S51,Dashboard!$C$4,$M$6:$M$11)/NETWORKDAYS(S51,T51,$M$6:$M$11))))</f>
        <v>0</v>
      </c>
      <c r="W51" s="129" t="n">
        <f aca="false">R51*U51</f>
        <v>0</v>
      </c>
      <c r="X51" s="129" t="n">
        <f aca="false">R51*V51</f>
        <v>0</v>
      </c>
      <c r="Y51" s="132" t="b">
        <f aca="false">AND(ISNUMBER($A51),ISNUMBER($I51),T51&gt;0,T51&lt;Dashboard!$C$4,U51&lt;1)</f>
        <v>0</v>
      </c>
      <c r="Z51" s="129" t="str">
        <f aca="false">IF(Y51,COUNTIF(Y$6:Y51,TRUE()),"")</f>
        <v/>
      </c>
      <c r="AA51" s="132" t="b">
        <f aca="false">AND(ISNUMBER($A51),ISNUMBER($I51),U51&lt;1,NOT(Y51),S51&gt;0,S51&lt;=WORKDAY(Dashboard!$C$4,10,$M$6:$M$11),T51&gt;=Dashboard!$C$4)</f>
        <v>0</v>
      </c>
      <c r="AB51" s="129" t="str">
        <f aca="false">IF(AA51,COUNTIF(AA$6:AA51,TRUE()),"")</f>
        <v/>
      </c>
    </row>
    <row r="52" customFormat="false" ht="15" hidden="false" customHeight="false" outlineLevel="0" collapsed="false">
      <c r="A52" s="133" t="n">
        <v>55</v>
      </c>
      <c r="B52" s="134" t="n">
        <f aca="false">IF('Scope Checklist'!A55="","-",'Scope Checklist'!A55)</f>
        <v>65</v>
      </c>
      <c r="C52" s="135" t="str">
        <f aca="false">'Scope Checklist'!D55</f>
        <v>LED mirrors - install</v>
      </c>
      <c r="D52" s="62" t="s">
        <v>721</v>
      </c>
      <c r="E52" s="136" t="n">
        <v>0</v>
      </c>
      <c r="F52" s="136" t="n">
        <v>1</v>
      </c>
      <c r="G52" s="64" t="n">
        <f aca="false">WORKDAY(H48,1+E52,$M$6:$M$11)</f>
        <v>46456</v>
      </c>
      <c r="H52" s="64" t="n">
        <f aca="false">WORKDAY(G52,F52-1,$M$6:$M$11)</f>
        <v>46456</v>
      </c>
      <c r="I52" s="136" t="n">
        <v>4</v>
      </c>
      <c r="J52" s="133" t="s">
        <v>184</v>
      </c>
      <c r="K52" s="62" t="s">
        <v>722</v>
      </c>
      <c r="P52" s="129" t="str">
        <f aca="false">IF(ISNUMBER($A52),INDEX('Scope Checklist'!$B:$B,$A52),"")</f>
        <v>Interior - Electrical</v>
      </c>
      <c r="Q52" s="129" t="str">
        <f aca="false">IF(ISNUMBER($A52),INDEX('Scope Checklist'!$E:$E,$A52),"")</f>
        <v>Pending</v>
      </c>
      <c r="R52" s="129" t="n">
        <f aca="false">IF(AND(ISNUMBER($A52),ISNUMBER($I52),ISNUMBER($H52)),$I52,0)</f>
        <v>4</v>
      </c>
      <c r="S52" s="130" t="n">
        <f aca="false">IF(ISNUMBER($G52),$G52,0)</f>
        <v>46456</v>
      </c>
      <c r="T52" s="130" t="n">
        <f aca="false">IF(ISNUMBER($H52),$H52,S52)</f>
        <v>46456</v>
      </c>
      <c r="U52" s="131" t="n">
        <f aca="false">IF(ISNUMBER($A52),IF(Q52="Complete",1,N(INDEX('Scope Checklist'!$I:$I,$A52))),0)</f>
        <v>0</v>
      </c>
      <c r="V52" s="131" t="n">
        <f aca="false">IF(OR(NOT(ISNUMBER($A52)),S52=0),0,IF(Dashboard!$C$4&lt;S52,0,IF(Dashboard!$C$4&gt;=T52,1,NETWORKDAYS(S52,Dashboard!$C$4,$M$6:$M$11)/NETWORKDAYS(S52,T52,$M$6:$M$11))))</f>
        <v>0</v>
      </c>
      <c r="W52" s="129" t="n">
        <f aca="false">R52*U52</f>
        <v>0</v>
      </c>
      <c r="X52" s="129" t="n">
        <f aca="false">R52*V52</f>
        <v>0</v>
      </c>
      <c r="Y52" s="132" t="b">
        <f aca="false">AND(ISNUMBER($A52),ISNUMBER($I52),T52&gt;0,T52&lt;Dashboard!$C$4,U52&lt;1)</f>
        <v>0</v>
      </c>
      <c r="Z52" s="129" t="str">
        <f aca="false">IF(Y52,COUNTIF(Y$6:Y52,TRUE()),"")</f>
        <v/>
      </c>
      <c r="AA52" s="132" t="b">
        <f aca="false">AND(ISNUMBER($A52),ISNUMBER($I52),U52&lt;1,NOT(Y52),S52&gt;0,S52&lt;=WORKDAY(Dashboard!$C$4,10,$M$6:$M$11),T52&gt;=Dashboard!$C$4)</f>
        <v>0</v>
      </c>
      <c r="AB52" s="129" t="str">
        <f aca="false">IF(AA52,COUNTIF(AA$6:AA52,TRUE()),"")</f>
        <v/>
      </c>
    </row>
    <row r="53" customFormat="false" ht="15" hidden="false" customHeight="false" outlineLevel="0" collapsed="false">
      <c r="A53" s="133" t="n">
        <v>56</v>
      </c>
      <c r="B53" s="134" t="n">
        <f aca="false">IF('Scope Checklist'!A56="","-",'Scope Checklist'!A56)</f>
        <v>66</v>
      </c>
      <c r="C53" s="135" t="str">
        <f aca="false">'Scope Checklist'!D56</f>
        <v>Smoke / CO detectors - replace all</v>
      </c>
      <c r="D53" s="62" t="s">
        <v>723</v>
      </c>
      <c r="E53" s="136" t="n">
        <v>0</v>
      </c>
      <c r="F53" s="136" t="n">
        <v>1</v>
      </c>
      <c r="G53" s="64" t="n">
        <f aca="false">WORKDAY(H48,1+E53,$M$6:$M$11)</f>
        <v>46456</v>
      </c>
      <c r="H53" s="64" t="n">
        <f aca="false">WORKDAY(G53,F53-1,$M$6:$M$11)</f>
        <v>46456</v>
      </c>
      <c r="I53" s="136" t="n">
        <v>4</v>
      </c>
      <c r="J53" s="133" t="s">
        <v>249</v>
      </c>
      <c r="K53" s="62" t="s">
        <v>724</v>
      </c>
      <c r="P53" s="129" t="str">
        <f aca="false">IF(ISNUMBER($A53),INDEX('Scope Checklist'!$B:$B,$A53),"")</f>
        <v>Interior - Electrical</v>
      </c>
      <c r="Q53" s="129" t="str">
        <f aca="false">IF(ISNUMBER($A53),INDEX('Scope Checklist'!$E:$E,$A53),"")</f>
        <v>Pending</v>
      </c>
      <c r="R53" s="129" t="n">
        <f aca="false">IF(AND(ISNUMBER($A53),ISNUMBER($I53),ISNUMBER($H53)),$I53,0)</f>
        <v>4</v>
      </c>
      <c r="S53" s="130" t="n">
        <f aca="false">IF(ISNUMBER($G53),$G53,0)</f>
        <v>46456</v>
      </c>
      <c r="T53" s="130" t="n">
        <f aca="false">IF(ISNUMBER($H53),$H53,S53)</f>
        <v>46456</v>
      </c>
      <c r="U53" s="131" t="n">
        <f aca="false">IF(ISNUMBER($A53),IF(Q53="Complete",1,N(INDEX('Scope Checklist'!$I:$I,$A53))),0)</f>
        <v>0</v>
      </c>
      <c r="V53" s="131" t="n">
        <f aca="false">IF(OR(NOT(ISNUMBER($A53)),S53=0),0,IF(Dashboard!$C$4&lt;S53,0,IF(Dashboard!$C$4&gt;=T53,1,NETWORKDAYS(S53,Dashboard!$C$4,$M$6:$M$11)/NETWORKDAYS(S53,T53,$M$6:$M$11))))</f>
        <v>0</v>
      </c>
      <c r="W53" s="129" t="n">
        <f aca="false">R53*U53</f>
        <v>0</v>
      </c>
      <c r="X53" s="129" t="n">
        <f aca="false">R53*V53</f>
        <v>0</v>
      </c>
      <c r="Y53" s="132" t="b">
        <f aca="false">AND(ISNUMBER($A53),ISNUMBER($I53),T53&gt;0,T53&lt;Dashboard!$C$4,U53&lt;1)</f>
        <v>0</v>
      </c>
      <c r="Z53" s="129" t="str">
        <f aca="false">IF(Y53,COUNTIF(Y$6:Y53,TRUE()),"")</f>
        <v/>
      </c>
      <c r="AA53" s="132" t="b">
        <f aca="false">AND(ISNUMBER($A53),ISNUMBER($I53),U53&lt;1,NOT(Y53),S53&gt;0,S53&lt;=WORKDAY(Dashboard!$C$4,10,$M$6:$M$11),T53&gt;=Dashboard!$C$4)</f>
        <v>0</v>
      </c>
      <c r="AB53" s="129" t="str">
        <f aca="false">IF(AA53,COUNTIF(AA$6:AA53,TRUE()),"")</f>
        <v/>
      </c>
    </row>
    <row r="54" customFormat="false" ht="15" hidden="false" customHeight="false" outlineLevel="0" collapsed="false">
      <c r="A54" s="133" t="n">
        <v>57</v>
      </c>
      <c r="B54" s="134" t="n">
        <f aca="false">IF('Scope Checklist'!A57="","-",'Scope Checklist'!A57)</f>
        <v>67</v>
      </c>
      <c r="C54" s="135" t="str">
        <f aca="false">'Scope Checklist'!D57</f>
        <v>Doorbell / smart doorbell</v>
      </c>
      <c r="D54" s="62" t="s">
        <v>723</v>
      </c>
      <c r="E54" s="136" t="n">
        <v>0</v>
      </c>
      <c r="F54" s="136" t="n">
        <v>1</v>
      </c>
      <c r="G54" s="64" t="n">
        <f aca="false">WORKDAY(H48,1+E54,$M$6:$M$11)</f>
        <v>46456</v>
      </c>
      <c r="H54" s="64" t="n">
        <f aca="false">WORKDAY(G54,F54-1,$M$6:$M$11)</f>
        <v>46456</v>
      </c>
      <c r="I54" s="136" t="n">
        <v>2</v>
      </c>
      <c r="J54" s="133" t="s">
        <v>194</v>
      </c>
      <c r="K54" s="62" t="s">
        <v>722</v>
      </c>
      <c r="P54" s="129" t="str">
        <f aca="false">IF(ISNUMBER($A54),INDEX('Scope Checklist'!$B:$B,$A54),"")</f>
        <v>Interior - Electrical</v>
      </c>
      <c r="Q54" s="129" t="str">
        <f aca="false">IF(ISNUMBER($A54),INDEX('Scope Checklist'!$E:$E,$A54),"")</f>
        <v>Pending</v>
      </c>
      <c r="R54" s="129" t="n">
        <f aca="false">IF(AND(ISNUMBER($A54),ISNUMBER($I54),ISNUMBER($H54)),$I54,0)</f>
        <v>2</v>
      </c>
      <c r="S54" s="130" t="n">
        <f aca="false">IF(ISNUMBER($G54),$G54,0)</f>
        <v>46456</v>
      </c>
      <c r="T54" s="130" t="n">
        <f aca="false">IF(ISNUMBER($H54),$H54,S54)</f>
        <v>46456</v>
      </c>
      <c r="U54" s="131" t="n">
        <f aca="false">IF(ISNUMBER($A54),IF(Q54="Complete",1,N(INDEX('Scope Checklist'!$I:$I,$A54))),0)</f>
        <v>0</v>
      </c>
      <c r="V54" s="131" t="n">
        <f aca="false">IF(OR(NOT(ISNUMBER($A54)),S54=0),0,IF(Dashboard!$C$4&lt;S54,0,IF(Dashboard!$C$4&gt;=T54,1,NETWORKDAYS(S54,Dashboard!$C$4,$M$6:$M$11)/NETWORKDAYS(S54,T54,$M$6:$M$11))))</f>
        <v>0</v>
      </c>
      <c r="W54" s="129" t="n">
        <f aca="false">R54*U54</f>
        <v>0</v>
      </c>
      <c r="X54" s="129" t="n">
        <f aca="false">R54*V54</f>
        <v>0</v>
      </c>
      <c r="Y54" s="132" t="b">
        <f aca="false">AND(ISNUMBER($A54),ISNUMBER($I54),T54&gt;0,T54&lt;Dashboard!$C$4,U54&lt;1)</f>
        <v>0</v>
      </c>
      <c r="Z54" s="129" t="str">
        <f aca="false">IF(Y54,COUNTIF(Y$6:Y54,TRUE()),"")</f>
        <v/>
      </c>
      <c r="AA54" s="132" t="b">
        <f aca="false">AND(ISNUMBER($A54),ISNUMBER($I54),U54&lt;1,NOT(Y54),S54&gt;0,S54&lt;=WORKDAY(Dashboard!$C$4,10,$M$6:$M$11),T54&gt;=Dashboard!$C$4)</f>
        <v>0</v>
      </c>
      <c r="AB54" s="129" t="str">
        <f aca="false">IF(AA54,COUNTIF(AA$6:AA54,TRUE()),"")</f>
        <v/>
      </c>
    </row>
    <row r="55" customFormat="false" ht="23.85" hidden="false" customHeight="false" outlineLevel="0" collapsed="false">
      <c r="A55" s="133" t="n">
        <v>47</v>
      </c>
      <c r="B55" s="134" t="n">
        <f aca="false">IF('Scope Checklist'!A47="","-",'Scope Checklist'!A47)</f>
        <v>59</v>
      </c>
      <c r="C55" s="135" t="str">
        <f aca="false">'Scope Checklist'!D47</f>
        <v>Electrical contract - overall</v>
      </c>
      <c r="D55" s="62" t="s">
        <v>725</v>
      </c>
      <c r="E55" s="136" t="n">
        <v>0</v>
      </c>
      <c r="F55" s="133" t="n">
        <f aca="false">NETWORKDAYS(G55,H55,$M$6:$M$11)</f>
        <v>107</v>
      </c>
      <c r="G55" s="64" t="n">
        <f aca="false">G45</f>
        <v>46300</v>
      </c>
      <c r="H55" s="64" t="n">
        <f aca="false">MAX(H46,H47,H48,H49,H50,H51,H52,H53,H54)</f>
        <v>46456</v>
      </c>
      <c r="I55" s="133" t="s">
        <v>124</v>
      </c>
      <c r="J55" s="133" t="s">
        <v>194</v>
      </c>
      <c r="K55" s="62" t="s">
        <v>726</v>
      </c>
      <c r="P55" s="129" t="str">
        <f aca="false">IF(ISNUMBER($A55),INDEX('Scope Checklist'!$B:$B,$A55),"")</f>
        <v>Interior - Electrical</v>
      </c>
      <c r="Q55" s="129" t="str">
        <f aca="false">IF(ISNUMBER($A55),INDEX('Scope Checklist'!$E:$E,$A55),"")</f>
        <v>In Progress</v>
      </c>
      <c r="R55" s="129" t="n">
        <f aca="false">IF(AND(ISNUMBER($A55),ISNUMBER($I55),ISNUMBER($H55)),$I55,0)</f>
        <v>0</v>
      </c>
      <c r="S55" s="130" t="n">
        <f aca="false">IF(ISNUMBER($G55),$G55,0)</f>
        <v>46300</v>
      </c>
      <c r="T55" s="130" t="n">
        <f aca="false">IF(ISNUMBER($H55),$H55,S55)</f>
        <v>46456</v>
      </c>
      <c r="U55" s="131" t="n">
        <f aca="false">IF(ISNUMBER($A55),IF(Q55="Complete",1,N(INDEX('Scope Checklist'!$I:$I,$A55))),0)</f>
        <v>0</v>
      </c>
      <c r="V55" s="131" t="n">
        <f aca="false">IF(OR(NOT(ISNUMBER($A55)),S55=0),0,IF(Dashboard!$C$4&lt;S55,0,IF(Dashboard!$C$4&gt;=T55,1,NETWORKDAYS(S55,Dashboard!$C$4,$M$6:$M$11)/NETWORKDAYS(S55,T55,$M$6:$M$11))))</f>
        <v>0</v>
      </c>
      <c r="W55" s="129" t="n">
        <f aca="false">R55*U55</f>
        <v>0</v>
      </c>
      <c r="X55" s="129" t="n">
        <f aca="false">R55*V55</f>
        <v>0</v>
      </c>
      <c r="Y55" s="132" t="b">
        <f aca="false">AND(ISNUMBER($A55),ISNUMBER($I55),T55&gt;0,T55&lt;Dashboard!$C$4,U55&lt;1)</f>
        <v>0</v>
      </c>
      <c r="Z55" s="129" t="str">
        <f aca="false">IF(Y55,COUNTIF(Y$6:Y55,TRUE()),"")</f>
        <v/>
      </c>
      <c r="AA55" s="132" t="b">
        <f aca="false">AND(ISNUMBER($A55),ISNUMBER($I55),U55&lt;1,NOT(Y55),S55&gt;0,S55&lt;=WORKDAY(Dashboard!$C$4,10,$M$6:$M$11),T55&gt;=Dashboard!$C$4)</f>
        <v>0</v>
      </c>
      <c r="AB55" s="129" t="str">
        <f aca="false">IF(AA55,COUNTIF(AA$6:AA55,TRUE()),"")</f>
        <v/>
      </c>
    </row>
    <row r="56" customFormat="false" ht="15" hidden="false" customHeight="false" outlineLevel="0" collapsed="false">
      <c r="A56" s="59" t="s">
        <v>252</v>
      </c>
      <c r="B56" s="127"/>
      <c r="C56" s="127"/>
      <c r="D56" s="127"/>
      <c r="E56" s="127"/>
      <c r="F56" s="127"/>
      <c r="G56" s="127"/>
      <c r="H56" s="127"/>
      <c r="I56" s="127"/>
      <c r="J56" s="127"/>
      <c r="K56" s="127"/>
      <c r="P56" s="129" t="str">
        <f aca="false">IF(ISNUMBER($A56),INDEX('Scope Checklist'!$B:$B,$A56),"")</f>
        <v/>
      </c>
      <c r="Q56" s="129" t="str">
        <f aca="false">IF(ISNUMBER($A56),INDEX('Scope Checklist'!$E:$E,$A56),"")</f>
        <v/>
      </c>
      <c r="R56" s="129" t="n">
        <f aca="false">IF(AND(ISNUMBER($A56),ISNUMBER($I56),ISNUMBER($H56)),$I56,0)</f>
        <v>0</v>
      </c>
      <c r="S56" s="130" t="n">
        <f aca="false">IF(ISNUMBER($G56),$G56,0)</f>
        <v>0</v>
      </c>
      <c r="T56" s="130" t="n">
        <f aca="false">IF(ISNUMBER($H56),$H56,S56)</f>
        <v>0</v>
      </c>
      <c r="U56" s="131" t="n">
        <f aca="false">IF(ISNUMBER($A56),IF(Q56="Complete",1,N(INDEX('Scope Checklist'!$I:$I,$A56))),0)</f>
        <v>0</v>
      </c>
      <c r="V56" s="131" t="n">
        <f aca="false">IF(OR(NOT(ISNUMBER($A56)),S56=0),0,IF(Dashboard!$C$4&lt;S56,0,IF(Dashboard!$C$4&gt;=T56,1,NETWORKDAYS(S56,Dashboard!$C$4,$M$6:$M$11)/NETWORKDAYS(S56,T56,$M$6:$M$11))))</f>
        <v>0</v>
      </c>
      <c r="W56" s="129" t="n">
        <f aca="false">R56*U56</f>
        <v>0</v>
      </c>
      <c r="X56" s="129" t="n">
        <f aca="false">R56*V56</f>
        <v>0</v>
      </c>
      <c r="Y56" s="132" t="b">
        <f aca="false">AND(ISNUMBER($A56),ISNUMBER($I56),T56&gt;0,T56&lt;Dashboard!$C$4,U56&lt;1)</f>
        <v>0</v>
      </c>
      <c r="Z56" s="129" t="str">
        <f aca="false">IF(Y56,COUNTIF(Y$6:Y56,TRUE()),"")</f>
        <v/>
      </c>
      <c r="AA56" s="132" t="b">
        <f aca="false">AND(ISNUMBER($A56),ISNUMBER($I56),U56&lt;1,NOT(Y56),S56&gt;0,S56&lt;=WORKDAY(Dashboard!$C$4,10,$M$6:$M$11),T56&gt;=Dashboard!$C$4)</f>
        <v>0</v>
      </c>
      <c r="AB56" s="129" t="str">
        <f aca="false">IF(AA56,COUNTIF(AA$6:AA56,TRUE()),"")</f>
        <v/>
      </c>
    </row>
    <row r="57" customFormat="false" ht="23.85" hidden="false" customHeight="false" outlineLevel="0" collapsed="false">
      <c r="A57" s="133" t="n">
        <v>60</v>
      </c>
      <c r="B57" s="134" t="str">
        <f aca="false">IF('Scope Checklist'!A60="","-",'Scope Checklist'!A60)</f>
        <v>N8</v>
      </c>
      <c r="C57" s="135" t="str">
        <f aca="false">'Scope Checklist'!D60</f>
        <v>Underground DWV rough-in (baths/kitchen) incl. P-traps + underground inspection PASS</v>
      </c>
      <c r="D57" s="62" t="s">
        <v>727</v>
      </c>
      <c r="E57" s="136" t="n">
        <v>0</v>
      </c>
      <c r="F57" s="136" t="n">
        <v>4</v>
      </c>
      <c r="G57" s="64" t="n">
        <f aca="false">WORKDAY(H24,1+E57,$M$6:$M$11)</f>
        <v>46371</v>
      </c>
      <c r="H57" s="64" t="n">
        <f aca="false">WORKDAY(G57,F57-1,$M$6:$M$11)</f>
        <v>46374</v>
      </c>
      <c r="I57" s="136" t="n">
        <v>32</v>
      </c>
      <c r="J57" s="133" t="s">
        <v>184</v>
      </c>
      <c r="K57" s="62" t="s">
        <v>728</v>
      </c>
      <c r="P57" s="129" t="str">
        <f aca="false">IF(ISNUMBER($A57),INDEX('Scope Checklist'!$B:$B,$A57),"")</f>
        <v>Interior - Plumbing</v>
      </c>
      <c r="Q57" s="129" t="str">
        <f aca="false">IF(ISNUMBER($A57),INDEX('Scope Checklist'!$E:$E,$A57),"")</f>
        <v>Pending</v>
      </c>
      <c r="R57" s="129" t="n">
        <f aca="false">IF(AND(ISNUMBER($A57),ISNUMBER($I57),ISNUMBER($H57)),$I57,0)</f>
        <v>32</v>
      </c>
      <c r="S57" s="130" t="n">
        <f aca="false">IF(ISNUMBER($G57),$G57,0)</f>
        <v>46371</v>
      </c>
      <c r="T57" s="130" t="n">
        <f aca="false">IF(ISNUMBER($H57),$H57,S57)</f>
        <v>46374</v>
      </c>
      <c r="U57" s="131" t="n">
        <f aca="false">IF(ISNUMBER($A57),IF(Q57="Complete",1,N(INDEX('Scope Checklist'!$I:$I,$A57))),0)</f>
        <v>0</v>
      </c>
      <c r="V57" s="131" t="n">
        <f aca="false">IF(OR(NOT(ISNUMBER($A57)),S57=0),0,IF(Dashboard!$C$4&lt;S57,0,IF(Dashboard!$C$4&gt;=T57,1,NETWORKDAYS(S57,Dashboard!$C$4,$M$6:$M$11)/NETWORKDAYS(S57,T57,$M$6:$M$11))))</f>
        <v>0</v>
      </c>
      <c r="W57" s="129" t="n">
        <f aca="false">R57*U57</f>
        <v>0</v>
      </c>
      <c r="X57" s="129" t="n">
        <f aca="false">R57*V57</f>
        <v>0</v>
      </c>
      <c r="Y57" s="132" t="b">
        <f aca="false">AND(ISNUMBER($A57),ISNUMBER($I57),T57&gt;0,T57&lt;Dashboard!$C$4,U57&lt;1)</f>
        <v>0</v>
      </c>
      <c r="Z57" s="129" t="str">
        <f aca="false">IF(Y57,COUNTIF(Y$6:Y57,TRUE()),"")</f>
        <v/>
      </c>
      <c r="AA57" s="132" t="b">
        <f aca="false">AND(ISNUMBER($A57),ISNUMBER($I57),U57&lt;1,NOT(Y57),S57&gt;0,S57&lt;=WORKDAY(Dashboard!$C$4,10,$M$6:$M$11),T57&gt;=Dashboard!$C$4)</f>
        <v>0</v>
      </c>
      <c r="AB57" s="129" t="str">
        <f aca="false">IF(AA57,COUNTIF(AA$6:AA57,TRUE()),"")</f>
        <v/>
      </c>
    </row>
    <row r="58" customFormat="false" ht="23.85" hidden="false" customHeight="false" outlineLevel="0" collapsed="false">
      <c r="A58" s="133" t="n">
        <v>61</v>
      </c>
      <c r="B58" s="134" t="str">
        <f aca="false">IF('Scope Checklist'!A61="","-",'Scope Checklist'!A61)</f>
        <v>N9</v>
      </c>
      <c r="C58" s="135" t="str">
        <f aca="false">'Scope Checklist'!D61</f>
        <v>Water supply rough-in / top-out (shower valves, toilets, kitchen, fridge line) + pressure test</v>
      </c>
      <c r="D58" s="62" t="s">
        <v>729</v>
      </c>
      <c r="E58" s="136" t="n">
        <v>0</v>
      </c>
      <c r="F58" s="136" t="n">
        <v>3</v>
      </c>
      <c r="G58" s="64" t="n">
        <f aca="false">WORKDAY(H36,1+E58,$M$6:$M$11)</f>
        <v>46384</v>
      </c>
      <c r="H58" s="64" t="n">
        <f aca="false">WORKDAY(G58,F58-1,$M$6:$M$11)</f>
        <v>46386</v>
      </c>
      <c r="I58" s="136" t="n">
        <v>24</v>
      </c>
      <c r="J58" s="133" t="s">
        <v>184</v>
      </c>
      <c r="K58" s="62" t="s">
        <v>730</v>
      </c>
      <c r="P58" s="129" t="str">
        <f aca="false">IF(ISNUMBER($A58),INDEX('Scope Checklist'!$B:$B,$A58),"")</f>
        <v>Interior - Plumbing</v>
      </c>
      <c r="Q58" s="129" t="str">
        <f aca="false">IF(ISNUMBER($A58),INDEX('Scope Checklist'!$E:$E,$A58),"")</f>
        <v>Pending</v>
      </c>
      <c r="R58" s="129" t="n">
        <f aca="false">IF(AND(ISNUMBER($A58),ISNUMBER($I58),ISNUMBER($H58)),$I58,0)</f>
        <v>24</v>
      </c>
      <c r="S58" s="130" t="n">
        <f aca="false">IF(ISNUMBER($G58),$G58,0)</f>
        <v>46384</v>
      </c>
      <c r="T58" s="130" t="n">
        <f aca="false">IF(ISNUMBER($H58),$H58,S58)</f>
        <v>46386</v>
      </c>
      <c r="U58" s="131" t="n">
        <f aca="false">IF(ISNUMBER($A58),IF(Q58="Complete",1,N(INDEX('Scope Checklist'!$I:$I,$A58))),0)</f>
        <v>0</v>
      </c>
      <c r="V58" s="131" t="n">
        <f aca="false">IF(OR(NOT(ISNUMBER($A58)),S58=0),0,IF(Dashboard!$C$4&lt;S58,0,IF(Dashboard!$C$4&gt;=T58,1,NETWORKDAYS(S58,Dashboard!$C$4,$M$6:$M$11)/NETWORKDAYS(S58,T58,$M$6:$M$11))))</f>
        <v>0</v>
      </c>
      <c r="W58" s="129" t="n">
        <f aca="false">R58*U58</f>
        <v>0</v>
      </c>
      <c r="X58" s="129" t="n">
        <f aca="false">R58*V58</f>
        <v>0</v>
      </c>
      <c r="Y58" s="132" t="b">
        <f aca="false">AND(ISNUMBER($A58),ISNUMBER($I58),T58&gt;0,T58&lt;Dashboard!$C$4,U58&lt;1)</f>
        <v>0</v>
      </c>
      <c r="Z58" s="129" t="str">
        <f aca="false">IF(Y58,COUNTIF(Y$6:Y58,TRUE()),"")</f>
        <v/>
      </c>
      <c r="AA58" s="132" t="b">
        <f aca="false">AND(ISNUMBER($A58),ISNUMBER($I58),U58&lt;1,NOT(Y58),S58&gt;0,S58&lt;=WORKDAY(Dashboard!$C$4,10,$M$6:$M$11),T58&gt;=Dashboard!$C$4)</f>
        <v>0</v>
      </c>
      <c r="AB58" s="129" t="str">
        <f aca="false">IF(AA58,COUNTIF(AA$6:AA58,TRUE()),"")</f>
        <v/>
      </c>
    </row>
    <row r="59" customFormat="false" ht="15" hidden="false" customHeight="false" outlineLevel="0" collapsed="false">
      <c r="A59" s="133" t="n">
        <v>62</v>
      </c>
      <c r="B59" s="134" t="n">
        <f aca="false">IF('Scope Checklist'!A62="","-",'Scope Checklist'!A62)</f>
        <v>71</v>
      </c>
      <c r="C59" s="135" t="str">
        <f aca="false">'Scope Checklist'!D62</f>
        <v>Plumbing inventory check - supply lines, drainage, P-traps</v>
      </c>
      <c r="D59" s="62" t="s">
        <v>731</v>
      </c>
      <c r="E59" s="136" t="n">
        <v>0</v>
      </c>
      <c r="F59" s="136" t="n">
        <v>2</v>
      </c>
      <c r="G59" s="64" t="n">
        <f aca="false">WORKDAY(H58,1+E59,$M$6:$M$11)</f>
        <v>46387</v>
      </c>
      <c r="H59" s="64" t="n">
        <f aca="false">WORKDAY(G59,F59-1,$M$6:$M$11)</f>
        <v>46391</v>
      </c>
      <c r="I59" s="136" t="n">
        <v>6</v>
      </c>
      <c r="J59" s="133" t="s">
        <v>184</v>
      </c>
      <c r="K59" s="62" t="s">
        <v>732</v>
      </c>
      <c r="P59" s="129" t="str">
        <f aca="false">IF(ISNUMBER($A59),INDEX('Scope Checklist'!$B:$B,$A59),"")</f>
        <v>Interior - Plumbing</v>
      </c>
      <c r="Q59" s="129" t="str">
        <f aca="false">IF(ISNUMBER($A59),INDEX('Scope Checklist'!$E:$E,$A59),"")</f>
        <v>Pending</v>
      </c>
      <c r="R59" s="129" t="n">
        <f aca="false">IF(AND(ISNUMBER($A59),ISNUMBER($I59),ISNUMBER($H59)),$I59,0)</f>
        <v>6</v>
      </c>
      <c r="S59" s="130" t="n">
        <f aca="false">IF(ISNUMBER($G59),$G59,0)</f>
        <v>46387</v>
      </c>
      <c r="T59" s="130" t="n">
        <f aca="false">IF(ISNUMBER($H59),$H59,S59)</f>
        <v>46391</v>
      </c>
      <c r="U59" s="131" t="n">
        <f aca="false">IF(ISNUMBER($A59),IF(Q59="Complete",1,N(INDEX('Scope Checklist'!$I:$I,$A59))),0)</f>
        <v>0</v>
      </c>
      <c r="V59" s="131" t="n">
        <f aca="false">IF(OR(NOT(ISNUMBER($A59)),S59=0),0,IF(Dashboard!$C$4&lt;S59,0,IF(Dashboard!$C$4&gt;=T59,1,NETWORKDAYS(S59,Dashboard!$C$4,$M$6:$M$11)/NETWORKDAYS(S59,T59,$M$6:$M$11))))</f>
        <v>0</v>
      </c>
      <c r="W59" s="129" t="n">
        <f aca="false">R59*U59</f>
        <v>0</v>
      </c>
      <c r="X59" s="129" t="n">
        <f aca="false">R59*V59</f>
        <v>0</v>
      </c>
      <c r="Y59" s="132" t="b">
        <f aca="false">AND(ISNUMBER($A59),ISNUMBER($I59),T59&gt;0,T59&lt;Dashboard!$C$4,U59&lt;1)</f>
        <v>0</v>
      </c>
      <c r="Z59" s="129" t="str">
        <f aca="false">IF(Y59,COUNTIF(Y$6:Y59,TRUE()),"")</f>
        <v/>
      </c>
      <c r="AA59" s="132" t="b">
        <f aca="false">AND(ISNUMBER($A59),ISNUMBER($I59),U59&lt;1,NOT(Y59),S59&gt;0,S59&lt;=WORKDAY(Dashboard!$C$4,10,$M$6:$M$11),T59&gt;=Dashboard!$C$4)</f>
        <v>0</v>
      </c>
      <c r="AB59" s="129" t="str">
        <f aca="false">IF(AA59,COUNTIF(AA$6:AA59,TRUE()),"")</f>
        <v/>
      </c>
    </row>
    <row r="60" customFormat="false" ht="15" hidden="false" customHeight="false" outlineLevel="0" collapsed="false">
      <c r="A60" s="133" t="n">
        <v>63</v>
      </c>
      <c r="B60" s="134" t="n">
        <f aca="false">IF('Scope Checklist'!A63="","-",'Scope Checklist'!A63)</f>
        <v>69</v>
      </c>
      <c r="C60" s="135" t="str">
        <f aca="false">'Scope Checklist'!D63</f>
        <v>Final plumbing completion labor</v>
      </c>
      <c r="D60" s="62" t="s">
        <v>713</v>
      </c>
      <c r="E60" s="136" t="n">
        <v>0</v>
      </c>
      <c r="F60" s="136" t="n">
        <v>3</v>
      </c>
      <c r="G60" s="64" t="n">
        <f aca="false">WORKDAY(H43,1+E60,$M$6:$M$11)</f>
        <v>46451</v>
      </c>
      <c r="H60" s="64" t="n">
        <f aca="false">WORKDAY(G60,F60-1,$M$6:$M$11)</f>
        <v>46455</v>
      </c>
      <c r="I60" s="136" t="n">
        <v>24</v>
      </c>
      <c r="J60" s="133" t="s">
        <v>184</v>
      </c>
      <c r="K60" s="62" t="s">
        <v>733</v>
      </c>
      <c r="P60" s="129" t="str">
        <f aca="false">IF(ISNUMBER($A60),INDEX('Scope Checklist'!$B:$B,$A60),"")</f>
        <v>Interior - Plumbing</v>
      </c>
      <c r="Q60" s="129" t="str">
        <f aca="false">IF(ISNUMBER($A60),INDEX('Scope Checklist'!$E:$E,$A60),"")</f>
        <v>Pending</v>
      </c>
      <c r="R60" s="129" t="n">
        <f aca="false">IF(AND(ISNUMBER($A60),ISNUMBER($I60),ISNUMBER($H60)),$I60,0)</f>
        <v>24</v>
      </c>
      <c r="S60" s="130" t="n">
        <f aca="false">IF(ISNUMBER($G60),$G60,0)</f>
        <v>46451</v>
      </c>
      <c r="T60" s="130" t="n">
        <f aca="false">IF(ISNUMBER($H60),$H60,S60)</f>
        <v>46455</v>
      </c>
      <c r="U60" s="131" t="n">
        <f aca="false">IF(ISNUMBER($A60),IF(Q60="Complete",1,N(INDEX('Scope Checklist'!$I:$I,$A60))),0)</f>
        <v>0</v>
      </c>
      <c r="V60" s="131" t="n">
        <f aca="false">IF(OR(NOT(ISNUMBER($A60)),S60=0),0,IF(Dashboard!$C$4&lt;S60,0,IF(Dashboard!$C$4&gt;=T60,1,NETWORKDAYS(S60,Dashboard!$C$4,$M$6:$M$11)/NETWORKDAYS(S60,T60,$M$6:$M$11))))</f>
        <v>0</v>
      </c>
      <c r="W60" s="129" t="n">
        <f aca="false">R60*U60</f>
        <v>0</v>
      </c>
      <c r="X60" s="129" t="n">
        <f aca="false">R60*V60</f>
        <v>0</v>
      </c>
      <c r="Y60" s="132" t="b">
        <f aca="false">AND(ISNUMBER($A60),ISNUMBER($I60),T60&gt;0,T60&lt;Dashboard!$C$4,U60&lt;1)</f>
        <v>0</v>
      </c>
      <c r="Z60" s="129" t="str">
        <f aca="false">IF(Y60,COUNTIF(Y$6:Y60,TRUE()),"")</f>
        <v/>
      </c>
      <c r="AA60" s="132" t="b">
        <f aca="false">AND(ISNUMBER($A60),ISNUMBER($I60),U60&lt;1,NOT(Y60),S60&gt;0,S60&lt;=WORKDAY(Dashboard!$C$4,10,$M$6:$M$11),T60&gt;=Dashboard!$C$4)</f>
        <v>0</v>
      </c>
      <c r="AB60" s="129" t="str">
        <f aca="false">IF(AA60,COUNTIF(AA$6:AA60,TRUE()),"")</f>
        <v/>
      </c>
    </row>
    <row r="61" customFormat="false" ht="15" hidden="false" customHeight="false" outlineLevel="0" collapsed="false">
      <c r="A61" s="133" t="n">
        <v>64</v>
      </c>
      <c r="B61" s="134" t="n">
        <f aca="false">IF('Scope Checklist'!A64="","-",'Scope Checklist'!A64)</f>
        <v>72</v>
      </c>
      <c r="C61" s="135" t="str">
        <f aca="false">'Scope Checklist'!D64</f>
        <v>Angle stops and supply lines throughout</v>
      </c>
      <c r="D61" s="62" t="s">
        <v>734</v>
      </c>
      <c r="E61" s="136" t="n">
        <v>0</v>
      </c>
      <c r="F61" s="136" t="n">
        <v>2</v>
      </c>
      <c r="G61" s="64" t="n">
        <f aca="false">WORKDAY(G60,E61,$M$6:$M$11)</f>
        <v>46451</v>
      </c>
      <c r="H61" s="64" t="n">
        <f aca="false">WORKDAY(G61,F61-1,$M$6:$M$11)</f>
        <v>46454</v>
      </c>
      <c r="I61" s="136" t="n">
        <v>8</v>
      </c>
      <c r="J61" s="133" t="s">
        <v>184</v>
      </c>
      <c r="K61" s="62" t="s">
        <v>722</v>
      </c>
      <c r="P61" s="129" t="str">
        <f aca="false">IF(ISNUMBER($A61),INDEX('Scope Checklist'!$B:$B,$A61),"")</f>
        <v>Interior - Plumbing</v>
      </c>
      <c r="Q61" s="129" t="str">
        <f aca="false">IF(ISNUMBER($A61),INDEX('Scope Checklist'!$E:$E,$A61),"")</f>
        <v>Pending</v>
      </c>
      <c r="R61" s="129" t="n">
        <f aca="false">IF(AND(ISNUMBER($A61),ISNUMBER($I61),ISNUMBER($H61)),$I61,0)</f>
        <v>8</v>
      </c>
      <c r="S61" s="130" t="n">
        <f aca="false">IF(ISNUMBER($G61),$G61,0)</f>
        <v>46451</v>
      </c>
      <c r="T61" s="130" t="n">
        <f aca="false">IF(ISNUMBER($H61),$H61,S61)</f>
        <v>46454</v>
      </c>
      <c r="U61" s="131" t="n">
        <f aca="false">IF(ISNUMBER($A61),IF(Q61="Complete",1,N(INDEX('Scope Checklist'!$I:$I,$A61))),0)</f>
        <v>0</v>
      </c>
      <c r="V61" s="131" t="n">
        <f aca="false">IF(OR(NOT(ISNUMBER($A61)),S61=0),0,IF(Dashboard!$C$4&lt;S61,0,IF(Dashboard!$C$4&gt;=T61,1,NETWORKDAYS(S61,Dashboard!$C$4,$M$6:$M$11)/NETWORKDAYS(S61,T61,$M$6:$M$11))))</f>
        <v>0</v>
      </c>
      <c r="W61" s="129" t="n">
        <f aca="false">R61*U61</f>
        <v>0</v>
      </c>
      <c r="X61" s="129" t="n">
        <f aca="false">R61*V61</f>
        <v>0</v>
      </c>
      <c r="Y61" s="132" t="b">
        <f aca="false">AND(ISNUMBER($A61),ISNUMBER($I61),T61&gt;0,T61&lt;Dashboard!$C$4,U61&lt;1)</f>
        <v>0</v>
      </c>
      <c r="Z61" s="129" t="str">
        <f aca="false">IF(Y61,COUNTIF(Y$6:Y61,TRUE()),"")</f>
        <v/>
      </c>
      <c r="AA61" s="132" t="b">
        <f aca="false">AND(ISNUMBER($A61),ISNUMBER($I61),U61&lt;1,NOT(Y61),S61&gt;0,S61&lt;=WORKDAY(Dashboard!$C$4,10,$M$6:$M$11),T61&gt;=Dashboard!$C$4)</f>
        <v>0</v>
      </c>
      <c r="AB61" s="129" t="str">
        <f aca="false">IF(AA61,COUNTIF(AA$6:AA61,TRUE()),"")</f>
        <v/>
      </c>
    </row>
    <row r="62" customFormat="false" ht="15" hidden="false" customHeight="false" outlineLevel="0" collapsed="false">
      <c r="A62" s="59" t="s">
        <v>270</v>
      </c>
      <c r="B62" s="127"/>
      <c r="C62" s="127"/>
      <c r="D62" s="127"/>
      <c r="E62" s="127"/>
      <c r="F62" s="127"/>
      <c r="G62" s="127"/>
      <c r="H62" s="127"/>
      <c r="I62" s="127"/>
      <c r="J62" s="127"/>
      <c r="K62" s="127"/>
      <c r="P62" s="129" t="str">
        <f aca="false">IF(ISNUMBER($A62),INDEX('Scope Checklist'!$B:$B,$A62),"")</f>
        <v/>
      </c>
      <c r="Q62" s="129" t="str">
        <f aca="false">IF(ISNUMBER($A62),INDEX('Scope Checklist'!$E:$E,$A62),"")</f>
        <v/>
      </c>
      <c r="R62" s="129" t="n">
        <f aca="false">IF(AND(ISNUMBER($A62),ISNUMBER($I62),ISNUMBER($H62)),$I62,0)</f>
        <v>0</v>
      </c>
      <c r="S62" s="130" t="n">
        <f aca="false">IF(ISNUMBER($G62),$G62,0)</f>
        <v>0</v>
      </c>
      <c r="T62" s="130" t="n">
        <f aca="false">IF(ISNUMBER($H62),$H62,S62)</f>
        <v>0</v>
      </c>
      <c r="U62" s="131" t="n">
        <f aca="false">IF(ISNUMBER($A62),IF(Q62="Complete",1,N(INDEX('Scope Checklist'!$I:$I,$A62))),0)</f>
        <v>0</v>
      </c>
      <c r="V62" s="131" t="n">
        <f aca="false">IF(OR(NOT(ISNUMBER($A62)),S62=0),0,IF(Dashboard!$C$4&lt;S62,0,IF(Dashboard!$C$4&gt;=T62,1,NETWORKDAYS(S62,Dashboard!$C$4,$M$6:$M$11)/NETWORKDAYS(S62,T62,$M$6:$M$11))))</f>
        <v>0</v>
      </c>
      <c r="W62" s="129" t="n">
        <f aca="false">R62*U62</f>
        <v>0</v>
      </c>
      <c r="X62" s="129" t="n">
        <f aca="false">R62*V62</f>
        <v>0</v>
      </c>
      <c r="Y62" s="132" t="b">
        <f aca="false">AND(ISNUMBER($A62),ISNUMBER($I62),T62&gt;0,T62&lt;Dashboard!$C$4,U62&lt;1)</f>
        <v>0</v>
      </c>
      <c r="Z62" s="129" t="str">
        <f aca="false">IF(Y62,COUNTIF(Y$6:Y62,TRUE()),"")</f>
        <v/>
      </c>
      <c r="AA62" s="132" t="b">
        <f aca="false">AND(ISNUMBER($A62),ISNUMBER($I62),U62&lt;1,NOT(Y62),S62&gt;0,S62&lt;=WORKDAY(Dashboard!$C$4,10,$M$6:$M$11),T62&gt;=Dashboard!$C$4)</f>
        <v>0</v>
      </c>
      <c r="AB62" s="129" t="str">
        <f aca="false">IF(AA62,COUNTIF(AA$6:AA62,TRUE()),"")</f>
        <v/>
      </c>
    </row>
    <row r="63" customFormat="false" ht="23.85" hidden="false" customHeight="false" outlineLevel="0" collapsed="false">
      <c r="A63" s="133" t="n">
        <v>69</v>
      </c>
      <c r="B63" s="134" t="str">
        <f aca="false">IF('Scope Checklist'!A69="","-",'Scope Checklist'!A69)</f>
        <v>N10</v>
      </c>
      <c r="C63" s="135" t="str">
        <f aca="false">'Scope Checklist'!D69</f>
        <v>Duct modifications - removed partitions, kitchen hood + bath exhaust ducting</v>
      </c>
      <c r="D63" s="62" t="s">
        <v>735</v>
      </c>
      <c r="E63" s="136" t="n">
        <v>0</v>
      </c>
      <c r="F63" s="136" t="n">
        <v>3</v>
      </c>
      <c r="G63" s="64" t="n">
        <f aca="false">WORKDAY(MAX(H22,H35),1+E63,$M$6:$M$11)</f>
        <v>46378</v>
      </c>
      <c r="H63" s="64" t="n">
        <f aca="false">WORKDAY(G63,F63-1,$M$6:$M$11)</f>
        <v>46384</v>
      </c>
      <c r="I63" s="136" t="n">
        <v>24</v>
      </c>
      <c r="J63" s="133" t="s">
        <v>194</v>
      </c>
      <c r="K63" s="62" t="s">
        <v>736</v>
      </c>
      <c r="P63" s="129" t="str">
        <f aca="false">IF(ISNUMBER($A63),INDEX('Scope Checklist'!$B:$B,$A63),"")</f>
        <v>Interior - HVAC</v>
      </c>
      <c r="Q63" s="129" t="str">
        <f aca="false">IF(ISNUMBER($A63),INDEX('Scope Checklist'!$E:$E,$A63),"")</f>
        <v>Pending</v>
      </c>
      <c r="R63" s="129" t="n">
        <f aca="false">IF(AND(ISNUMBER($A63),ISNUMBER($I63),ISNUMBER($H63)),$I63,0)</f>
        <v>24</v>
      </c>
      <c r="S63" s="130" t="n">
        <f aca="false">IF(ISNUMBER($G63),$G63,0)</f>
        <v>46378</v>
      </c>
      <c r="T63" s="130" t="n">
        <f aca="false">IF(ISNUMBER($H63),$H63,S63)</f>
        <v>46384</v>
      </c>
      <c r="U63" s="131" t="n">
        <f aca="false">IF(ISNUMBER($A63),IF(Q63="Complete",1,N(INDEX('Scope Checklist'!$I:$I,$A63))),0)</f>
        <v>0</v>
      </c>
      <c r="V63" s="131" t="n">
        <f aca="false">IF(OR(NOT(ISNUMBER($A63)),S63=0),0,IF(Dashboard!$C$4&lt;S63,0,IF(Dashboard!$C$4&gt;=T63,1,NETWORKDAYS(S63,Dashboard!$C$4,$M$6:$M$11)/NETWORKDAYS(S63,T63,$M$6:$M$11))))</f>
        <v>0</v>
      </c>
      <c r="W63" s="129" t="n">
        <f aca="false">R63*U63</f>
        <v>0</v>
      </c>
      <c r="X63" s="129" t="n">
        <f aca="false">R63*V63</f>
        <v>0</v>
      </c>
      <c r="Y63" s="132" t="b">
        <f aca="false">AND(ISNUMBER($A63),ISNUMBER($I63),T63&gt;0,T63&lt;Dashboard!$C$4,U63&lt;1)</f>
        <v>0</v>
      </c>
      <c r="Z63" s="129" t="str">
        <f aca="false">IF(Y63,COUNTIF(Y$6:Y63,TRUE()),"")</f>
        <v/>
      </c>
      <c r="AA63" s="132" t="b">
        <f aca="false">AND(ISNUMBER($A63),ISNUMBER($I63),U63&lt;1,NOT(Y63),S63&gt;0,S63&lt;=WORKDAY(Dashboard!$C$4,10,$M$6:$M$11),T63&gt;=Dashboard!$C$4)</f>
        <v>0</v>
      </c>
      <c r="AB63" s="129" t="str">
        <f aca="false">IF(AA63,COUNTIF(AA$6:AA63,TRUE()),"")</f>
        <v/>
      </c>
    </row>
    <row r="64" customFormat="false" ht="15" hidden="false" customHeight="false" outlineLevel="0" collapsed="false">
      <c r="A64" s="133" t="n">
        <v>70</v>
      </c>
      <c r="B64" s="134" t="n">
        <f aca="false">IF('Scope Checklist'!A70="","-",'Scope Checklist'!A70)</f>
        <v>77</v>
      </c>
      <c r="C64" s="135" t="str">
        <f aca="false">'Scope Checklist'!D70</f>
        <v>Ductwork inspection / repair / clean</v>
      </c>
      <c r="D64" s="62" t="s">
        <v>737</v>
      </c>
      <c r="E64" s="136" t="n">
        <v>0</v>
      </c>
      <c r="F64" s="136" t="n">
        <v>2</v>
      </c>
      <c r="G64" s="64" t="n">
        <f aca="false">WORKDAY(H41,1+E64,$M$6:$M$11)</f>
        <v>46414</v>
      </c>
      <c r="H64" s="64" t="n">
        <f aca="false">WORKDAY(G64,F64-1,$M$6:$M$11)</f>
        <v>46415</v>
      </c>
      <c r="I64" s="136" t="n">
        <v>16</v>
      </c>
      <c r="J64" s="133" t="s">
        <v>194</v>
      </c>
      <c r="K64" s="62" t="s">
        <v>738</v>
      </c>
      <c r="P64" s="129" t="str">
        <f aca="false">IF(ISNUMBER($A64),INDEX('Scope Checklist'!$B:$B,$A64),"")</f>
        <v>Interior - HVAC</v>
      </c>
      <c r="Q64" s="129" t="str">
        <f aca="false">IF(ISNUMBER($A64),INDEX('Scope Checklist'!$E:$E,$A64),"")</f>
        <v>Pending</v>
      </c>
      <c r="R64" s="129" t="n">
        <f aca="false">IF(AND(ISNUMBER($A64),ISNUMBER($I64),ISNUMBER($H64)),$I64,0)</f>
        <v>16</v>
      </c>
      <c r="S64" s="130" t="n">
        <f aca="false">IF(ISNUMBER($G64),$G64,0)</f>
        <v>46414</v>
      </c>
      <c r="T64" s="130" t="n">
        <f aca="false">IF(ISNUMBER($H64),$H64,S64)</f>
        <v>46415</v>
      </c>
      <c r="U64" s="131" t="n">
        <f aca="false">IF(ISNUMBER($A64),IF(Q64="Complete",1,N(INDEX('Scope Checklist'!$I:$I,$A64))),0)</f>
        <v>0</v>
      </c>
      <c r="V64" s="131" t="n">
        <f aca="false">IF(OR(NOT(ISNUMBER($A64)),S64=0),0,IF(Dashboard!$C$4&lt;S64,0,IF(Dashboard!$C$4&gt;=T64,1,NETWORKDAYS(S64,Dashboard!$C$4,$M$6:$M$11)/NETWORKDAYS(S64,T64,$M$6:$M$11))))</f>
        <v>0</v>
      </c>
      <c r="W64" s="129" t="n">
        <f aca="false">R64*U64</f>
        <v>0</v>
      </c>
      <c r="X64" s="129" t="n">
        <f aca="false">R64*V64</f>
        <v>0</v>
      </c>
      <c r="Y64" s="132" t="b">
        <f aca="false">AND(ISNUMBER($A64),ISNUMBER($I64),T64&gt;0,T64&lt;Dashboard!$C$4,U64&lt;1)</f>
        <v>0</v>
      </c>
      <c r="Z64" s="129" t="str">
        <f aca="false">IF(Y64,COUNTIF(Y$6:Y64,TRUE()),"")</f>
        <v/>
      </c>
      <c r="AA64" s="132" t="b">
        <f aca="false">AND(ISNUMBER($A64),ISNUMBER($I64),U64&lt;1,NOT(Y64),S64&gt;0,S64&lt;=WORKDAY(Dashboard!$C$4,10,$M$6:$M$11),T64&gt;=Dashboard!$C$4)</f>
        <v>0</v>
      </c>
      <c r="AB64" s="129" t="str">
        <f aca="false">IF(AA64,COUNTIF(AA$6:AA64,TRUE()),"")</f>
        <v/>
      </c>
    </row>
    <row r="65" customFormat="false" ht="15" hidden="false" customHeight="false" outlineLevel="0" collapsed="false">
      <c r="A65" s="133" t="n">
        <v>71</v>
      </c>
      <c r="B65" s="134" t="n">
        <f aca="false">IF('Scope Checklist'!A71="","-",'Scope Checklist'!A71)</f>
        <v>75</v>
      </c>
      <c r="C65" s="135" t="str">
        <f aca="false">'Scope Checklist'!D71</f>
        <v>HVAC coil cleaning</v>
      </c>
      <c r="D65" s="62" t="s">
        <v>739</v>
      </c>
      <c r="E65" s="136" t="n">
        <v>0</v>
      </c>
      <c r="F65" s="136" t="n">
        <v>1</v>
      </c>
      <c r="G65" s="64" t="n">
        <f aca="false">WORKDAY(H41,1+E65,$M$6:$M$11)</f>
        <v>46414</v>
      </c>
      <c r="H65" s="64" t="n">
        <f aca="false">WORKDAY(G65,F65-1,$M$6:$M$11)</f>
        <v>46414</v>
      </c>
      <c r="I65" s="136" t="n">
        <v>4</v>
      </c>
      <c r="J65" s="133" t="s">
        <v>194</v>
      </c>
      <c r="K65" s="62" t="s">
        <v>740</v>
      </c>
      <c r="P65" s="129" t="str">
        <f aca="false">IF(ISNUMBER($A65),INDEX('Scope Checklist'!$B:$B,$A65),"")</f>
        <v>Interior - HVAC</v>
      </c>
      <c r="Q65" s="129" t="str">
        <f aca="false">IF(ISNUMBER($A65),INDEX('Scope Checklist'!$E:$E,$A65),"")</f>
        <v>Pending</v>
      </c>
      <c r="R65" s="129" t="n">
        <f aca="false">IF(AND(ISNUMBER($A65),ISNUMBER($I65),ISNUMBER($H65)),$I65,0)</f>
        <v>4</v>
      </c>
      <c r="S65" s="130" t="n">
        <f aca="false">IF(ISNUMBER($G65),$G65,0)</f>
        <v>46414</v>
      </c>
      <c r="T65" s="130" t="n">
        <f aca="false">IF(ISNUMBER($H65),$H65,S65)</f>
        <v>46414</v>
      </c>
      <c r="U65" s="131" t="n">
        <f aca="false">IF(ISNUMBER($A65),IF(Q65="Complete",1,N(INDEX('Scope Checklist'!$I:$I,$A65))),0)</f>
        <v>0</v>
      </c>
      <c r="V65" s="131" t="n">
        <f aca="false">IF(OR(NOT(ISNUMBER($A65)),S65=0),0,IF(Dashboard!$C$4&lt;S65,0,IF(Dashboard!$C$4&gt;=T65,1,NETWORKDAYS(S65,Dashboard!$C$4,$M$6:$M$11)/NETWORKDAYS(S65,T65,$M$6:$M$11))))</f>
        <v>0</v>
      </c>
      <c r="W65" s="129" t="n">
        <f aca="false">R65*U65</f>
        <v>0</v>
      </c>
      <c r="X65" s="129" t="n">
        <f aca="false">R65*V65</f>
        <v>0</v>
      </c>
      <c r="Y65" s="132" t="b">
        <f aca="false">AND(ISNUMBER($A65),ISNUMBER($I65),T65&gt;0,T65&lt;Dashboard!$C$4,U65&lt;1)</f>
        <v>0</v>
      </c>
      <c r="Z65" s="129" t="str">
        <f aca="false">IF(Y65,COUNTIF(Y$6:Y65,TRUE()),"")</f>
        <v/>
      </c>
      <c r="AA65" s="132" t="b">
        <f aca="false">AND(ISNUMBER($A65),ISNUMBER($I65),U65&lt;1,NOT(Y65),S65&gt;0,S65&lt;=WORKDAY(Dashboard!$C$4,10,$M$6:$M$11),T65&gt;=Dashboard!$C$4)</f>
        <v>0</v>
      </c>
      <c r="AB65" s="129" t="str">
        <f aca="false">IF(AA65,COUNTIF(AA$6:AA65,TRUE()),"")</f>
        <v/>
      </c>
    </row>
    <row r="66" customFormat="false" ht="15" hidden="false" customHeight="false" outlineLevel="0" collapsed="false">
      <c r="A66" s="133" t="n">
        <v>72</v>
      </c>
      <c r="B66" s="134" t="n">
        <f aca="false">IF('Scope Checklist'!A72="","-",'Scope Checklist'!A72)</f>
        <v>76</v>
      </c>
      <c r="C66" s="135" t="str">
        <f aca="false">'Scope Checklist'!D72</f>
        <v>HVAC coolant refill service</v>
      </c>
      <c r="D66" s="62" t="s">
        <v>741</v>
      </c>
      <c r="E66" s="136" t="n">
        <v>0</v>
      </c>
      <c r="F66" s="136" t="n">
        <v>1</v>
      </c>
      <c r="G66" s="64" t="n">
        <f aca="false">WORKDAY(G65,E66,$M$6:$M$11)</f>
        <v>46414</v>
      </c>
      <c r="H66" s="64" t="n">
        <f aca="false">WORKDAY(G66,F66-1,$M$6:$M$11)</f>
        <v>46414</v>
      </c>
      <c r="I66" s="136" t="n">
        <v>3</v>
      </c>
      <c r="J66" s="133" t="s">
        <v>194</v>
      </c>
      <c r="K66" s="62" t="s">
        <v>740</v>
      </c>
      <c r="P66" s="129" t="str">
        <f aca="false">IF(ISNUMBER($A66),INDEX('Scope Checklist'!$B:$B,$A66),"")</f>
        <v>Interior - HVAC</v>
      </c>
      <c r="Q66" s="129" t="str">
        <f aca="false">IF(ISNUMBER($A66),INDEX('Scope Checklist'!$E:$E,$A66),"")</f>
        <v>Pending</v>
      </c>
      <c r="R66" s="129" t="n">
        <f aca="false">IF(AND(ISNUMBER($A66),ISNUMBER($I66),ISNUMBER($H66)),$I66,0)</f>
        <v>3</v>
      </c>
      <c r="S66" s="130" t="n">
        <f aca="false">IF(ISNUMBER($G66),$G66,0)</f>
        <v>46414</v>
      </c>
      <c r="T66" s="130" t="n">
        <f aca="false">IF(ISNUMBER($H66),$H66,S66)</f>
        <v>46414</v>
      </c>
      <c r="U66" s="131" t="n">
        <f aca="false">IF(ISNUMBER($A66),IF(Q66="Complete",1,N(INDEX('Scope Checklist'!$I:$I,$A66))),0)</f>
        <v>0</v>
      </c>
      <c r="V66" s="131" t="n">
        <f aca="false">IF(OR(NOT(ISNUMBER($A66)),S66=0),0,IF(Dashboard!$C$4&lt;S66,0,IF(Dashboard!$C$4&gt;=T66,1,NETWORKDAYS(S66,Dashboard!$C$4,$M$6:$M$11)/NETWORKDAYS(S66,T66,$M$6:$M$11))))</f>
        <v>0</v>
      </c>
      <c r="W66" s="129" t="n">
        <f aca="false">R66*U66</f>
        <v>0</v>
      </c>
      <c r="X66" s="129" t="n">
        <f aca="false">R66*V66</f>
        <v>0</v>
      </c>
      <c r="Y66" s="132" t="b">
        <f aca="false">AND(ISNUMBER($A66),ISNUMBER($I66),T66&gt;0,T66&lt;Dashboard!$C$4,U66&lt;1)</f>
        <v>0</v>
      </c>
      <c r="Z66" s="129" t="str">
        <f aca="false">IF(Y66,COUNTIF(Y$6:Y66,TRUE()),"")</f>
        <v/>
      </c>
      <c r="AA66" s="132" t="b">
        <f aca="false">AND(ISNUMBER($A66),ISNUMBER($I66),U66&lt;1,NOT(Y66),S66&gt;0,S66&lt;=WORKDAY(Dashboard!$C$4,10,$M$6:$M$11),T66&gt;=Dashboard!$C$4)</f>
        <v>0</v>
      </c>
      <c r="AB66" s="129" t="str">
        <f aca="false">IF(AA66,COUNTIF(AA$6:AA66,TRUE()),"")</f>
        <v/>
      </c>
    </row>
    <row r="67" customFormat="false" ht="15" hidden="false" customHeight="false" outlineLevel="0" collapsed="false">
      <c r="A67" s="133" t="n">
        <v>73</v>
      </c>
      <c r="B67" s="134" t="n">
        <f aca="false">IF('Scope Checklist'!A73="","-",'Scope Checklist'!A73)</f>
        <v>78</v>
      </c>
      <c r="C67" s="135" t="str">
        <f aca="false">'Scope Checklist'!D73</f>
        <v>AC diffusers</v>
      </c>
      <c r="D67" s="62" t="s">
        <v>713</v>
      </c>
      <c r="E67" s="136" t="n">
        <v>0</v>
      </c>
      <c r="F67" s="136" t="n">
        <v>1</v>
      </c>
      <c r="G67" s="64" t="n">
        <f aca="false">WORKDAY(H43,1+E67,$M$6:$M$11)</f>
        <v>46451</v>
      </c>
      <c r="H67" s="64" t="n">
        <f aca="false">WORKDAY(G67,F67-1,$M$6:$M$11)</f>
        <v>46451</v>
      </c>
      <c r="I67" s="136" t="n">
        <v>4</v>
      </c>
      <c r="J67" s="133" t="s">
        <v>146</v>
      </c>
      <c r="K67" s="62" t="s">
        <v>742</v>
      </c>
      <c r="P67" s="129" t="str">
        <f aca="false">IF(ISNUMBER($A67),INDEX('Scope Checklist'!$B:$B,$A67),"")</f>
        <v>Interior - HVAC</v>
      </c>
      <c r="Q67" s="129" t="str">
        <f aca="false">IF(ISNUMBER($A67),INDEX('Scope Checklist'!$E:$E,$A67),"")</f>
        <v>Pending</v>
      </c>
      <c r="R67" s="129" t="n">
        <f aca="false">IF(AND(ISNUMBER($A67),ISNUMBER($I67),ISNUMBER($H67)),$I67,0)</f>
        <v>4</v>
      </c>
      <c r="S67" s="130" t="n">
        <f aca="false">IF(ISNUMBER($G67),$G67,0)</f>
        <v>46451</v>
      </c>
      <c r="T67" s="130" t="n">
        <f aca="false">IF(ISNUMBER($H67),$H67,S67)</f>
        <v>46451</v>
      </c>
      <c r="U67" s="131" t="n">
        <f aca="false">IF(ISNUMBER($A67),IF(Q67="Complete",1,N(INDEX('Scope Checklist'!$I:$I,$A67))),0)</f>
        <v>0</v>
      </c>
      <c r="V67" s="131" t="n">
        <f aca="false">IF(OR(NOT(ISNUMBER($A67)),S67=0),0,IF(Dashboard!$C$4&lt;S67,0,IF(Dashboard!$C$4&gt;=T67,1,NETWORKDAYS(S67,Dashboard!$C$4,$M$6:$M$11)/NETWORKDAYS(S67,T67,$M$6:$M$11))))</f>
        <v>0</v>
      </c>
      <c r="W67" s="129" t="n">
        <f aca="false">R67*U67</f>
        <v>0</v>
      </c>
      <c r="X67" s="129" t="n">
        <f aca="false">R67*V67</f>
        <v>0</v>
      </c>
      <c r="Y67" s="132" t="b">
        <f aca="false">AND(ISNUMBER($A67),ISNUMBER($I67),T67&gt;0,T67&lt;Dashboard!$C$4,U67&lt;1)</f>
        <v>0</v>
      </c>
      <c r="Z67" s="129" t="str">
        <f aca="false">IF(Y67,COUNTIF(Y$6:Y67,TRUE()),"")</f>
        <v/>
      </c>
      <c r="AA67" s="132" t="b">
        <f aca="false">AND(ISNUMBER($A67),ISNUMBER($I67),U67&lt;1,NOT(Y67),S67&gt;0,S67&lt;=WORKDAY(Dashboard!$C$4,10,$M$6:$M$11),T67&gt;=Dashboard!$C$4)</f>
        <v>0</v>
      </c>
      <c r="AB67" s="129" t="str">
        <f aca="false">IF(AA67,COUNTIF(AA$6:AA67,TRUE()),"")</f>
        <v/>
      </c>
    </row>
    <row r="68" customFormat="false" ht="15" hidden="false" customHeight="false" outlineLevel="0" collapsed="false">
      <c r="A68" s="133" t="n">
        <v>74</v>
      </c>
      <c r="B68" s="134" t="n">
        <f aca="false">IF('Scope Checklist'!A74="","-",'Scope Checklist'!A74)</f>
        <v>79</v>
      </c>
      <c r="C68" s="135" t="str">
        <f aca="false">'Scope Checklist'!D74</f>
        <v>Thermostat</v>
      </c>
      <c r="D68" s="62" t="s">
        <v>713</v>
      </c>
      <c r="E68" s="136" t="n">
        <v>0</v>
      </c>
      <c r="F68" s="136" t="n">
        <v>1</v>
      </c>
      <c r="G68" s="64" t="n">
        <f aca="false">WORKDAY(H43,1+E68,$M$6:$M$11)</f>
        <v>46451</v>
      </c>
      <c r="H68" s="64" t="n">
        <f aca="false">WORKDAY(G68,F68-1,$M$6:$M$11)</f>
        <v>46451</v>
      </c>
      <c r="I68" s="136" t="n">
        <v>2</v>
      </c>
      <c r="J68" s="133" t="s">
        <v>184</v>
      </c>
      <c r="K68" s="62" t="s">
        <v>722</v>
      </c>
      <c r="P68" s="129" t="str">
        <f aca="false">IF(ISNUMBER($A68),INDEX('Scope Checklist'!$B:$B,$A68),"")</f>
        <v>Interior - HVAC</v>
      </c>
      <c r="Q68" s="129" t="str">
        <f aca="false">IF(ISNUMBER($A68),INDEX('Scope Checklist'!$E:$E,$A68),"")</f>
        <v>Pending</v>
      </c>
      <c r="R68" s="129" t="n">
        <f aca="false">IF(AND(ISNUMBER($A68),ISNUMBER($I68),ISNUMBER($H68)),$I68,0)</f>
        <v>2</v>
      </c>
      <c r="S68" s="130" t="n">
        <f aca="false">IF(ISNUMBER($G68),$G68,0)</f>
        <v>46451</v>
      </c>
      <c r="T68" s="130" t="n">
        <f aca="false">IF(ISNUMBER($H68),$H68,S68)</f>
        <v>46451</v>
      </c>
      <c r="U68" s="131" t="n">
        <f aca="false">IF(ISNUMBER($A68),IF(Q68="Complete",1,N(INDEX('Scope Checklist'!$I:$I,$A68))),0)</f>
        <v>0</v>
      </c>
      <c r="V68" s="131" t="n">
        <f aca="false">IF(OR(NOT(ISNUMBER($A68)),S68=0),0,IF(Dashboard!$C$4&lt;S68,0,IF(Dashboard!$C$4&gt;=T68,1,NETWORKDAYS(S68,Dashboard!$C$4,$M$6:$M$11)/NETWORKDAYS(S68,T68,$M$6:$M$11))))</f>
        <v>0</v>
      </c>
      <c r="W68" s="129" t="n">
        <f aca="false">R68*U68</f>
        <v>0</v>
      </c>
      <c r="X68" s="129" t="n">
        <f aca="false">R68*V68</f>
        <v>0</v>
      </c>
      <c r="Y68" s="132" t="b">
        <f aca="false">AND(ISNUMBER($A68),ISNUMBER($I68),T68&gt;0,T68&lt;Dashboard!$C$4,U68&lt;1)</f>
        <v>0</v>
      </c>
      <c r="Z68" s="129" t="str">
        <f aca="false">IF(Y68,COUNTIF(Y$6:Y68,TRUE()),"")</f>
        <v/>
      </c>
      <c r="AA68" s="132" t="b">
        <f aca="false">AND(ISNUMBER($A68),ISNUMBER($I68),U68&lt;1,NOT(Y68),S68&gt;0,S68&lt;=WORKDAY(Dashboard!$C$4,10,$M$6:$M$11),T68&gt;=Dashboard!$C$4)</f>
        <v>0</v>
      </c>
      <c r="AB68" s="129" t="str">
        <f aca="false">IF(AA68,COUNTIF(AA$6:AA68,TRUE()),"")</f>
        <v/>
      </c>
    </row>
    <row r="69" customFormat="false" ht="23.85" hidden="false" customHeight="false" outlineLevel="0" collapsed="false">
      <c r="A69" s="133" t="n">
        <v>68</v>
      </c>
      <c r="B69" s="134" t="n">
        <f aca="false">IF('Scope Checklist'!A68="","-",'Scope Checklist'!A68)</f>
        <v>74</v>
      </c>
      <c r="C69" s="135" t="str">
        <f aca="false">'Scope Checklist'!D68</f>
        <v>HVAC maintenance + concrete slab repair</v>
      </c>
      <c r="D69" s="62" t="s">
        <v>743</v>
      </c>
      <c r="E69" s="136" t="n">
        <v>0</v>
      </c>
      <c r="F69" s="133" t="n">
        <f aca="false">NETWORKDAYS(G69,H69,$M$6:$M$11)</f>
        <v>30</v>
      </c>
      <c r="G69" s="64" t="n">
        <f aca="false">G37</f>
        <v>46371</v>
      </c>
      <c r="H69" s="64" t="n">
        <f aca="false">MAX(H37,H63,H64,H65,H66)</f>
        <v>46415</v>
      </c>
      <c r="I69" s="133" t="s">
        <v>124</v>
      </c>
      <c r="J69" s="133" t="s">
        <v>191</v>
      </c>
      <c r="K69" s="62" t="s">
        <v>744</v>
      </c>
      <c r="P69" s="129" t="str">
        <f aca="false">IF(ISNUMBER($A69),INDEX('Scope Checklist'!$B:$B,$A69),"")</f>
        <v>Interior - HVAC</v>
      </c>
      <c r="Q69" s="129" t="str">
        <f aca="false">IF(ISNUMBER($A69),INDEX('Scope Checklist'!$E:$E,$A69),"")</f>
        <v>Pending</v>
      </c>
      <c r="R69" s="129" t="n">
        <f aca="false">IF(AND(ISNUMBER($A69),ISNUMBER($I69),ISNUMBER($H69)),$I69,0)</f>
        <v>0</v>
      </c>
      <c r="S69" s="130" t="n">
        <f aca="false">IF(ISNUMBER($G69),$G69,0)</f>
        <v>46371</v>
      </c>
      <c r="T69" s="130" t="n">
        <f aca="false">IF(ISNUMBER($H69),$H69,S69)</f>
        <v>46415</v>
      </c>
      <c r="U69" s="131" t="n">
        <f aca="false">IF(ISNUMBER($A69),IF(Q69="Complete",1,N(INDEX('Scope Checklist'!$I:$I,$A69))),0)</f>
        <v>0</v>
      </c>
      <c r="V69" s="131" t="n">
        <f aca="false">IF(OR(NOT(ISNUMBER($A69)),S69=0),0,IF(Dashboard!$C$4&lt;S69,0,IF(Dashboard!$C$4&gt;=T69,1,NETWORKDAYS(S69,Dashboard!$C$4,$M$6:$M$11)/NETWORKDAYS(S69,T69,$M$6:$M$11))))</f>
        <v>0</v>
      </c>
      <c r="W69" s="129" t="n">
        <f aca="false">R69*U69</f>
        <v>0</v>
      </c>
      <c r="X69" s="129" t="n">
        <f aca="false">R69*V69</f>
        <v>0</v>
      </c>
      <c r="Y69" s="132" t="b">
        <f aca="false">AND(ISNUMBER($A69),ISNUMBER($I69),T69&gt;0,T69&lt;Dashboard!$C$4,U69&lt;1)</f>
        <v>0</v>
      </c>
      <c r="Z69" s="129" t="str">
        <f aca="false">IF(Y69,COUNTIF(Y$6:Y69,TRUE()),"")</f>
        <v/>
      </c>
      <c r="AA69" s="132" t="b">
        <f aca="false">AND(ISNUMBER($A69),ISNUMBER($I69),U69&lt;1,NOT(Y69),S69&gt;0,S69&lt;=WORKDAY(Dashboard!$C$4,10,$M$6:$M$11),T69&gt;=Dashboard!$C$4)</f>
        <v>0</v>
      </c>
      <c r="AB69" s="129" t="str">
        <f aca="false">IF(AA69,COUNTIF(AA$6:AA69,TRUE()),"")</f>
        <v/>
      </c>
    </row>
    <row r="70" customFormat="false" ht="15" hidden="false" customHeight="false" outlineLevel="0" collapsed="false">
      <c r="A70" s="59" t="s">
        <v>287</v>
      </c>
      <c r="B70" s="127"/>
      <c r="C70" s="127"/>
      <c r="D70" s="127"/>
      <c r="E70" s="127"/>
      <c r="F70" s="127"/>
      <c r="G70" s="127"/>
      <c r="H70" s="127"/>
      <c r="I70" s="127"/>
      <c r="J70" s="127"/>
      <c r="K70" s="127"/>
      <c r="P70" s="129" t="str">
        <f aca="false">IF(ISNUMBER($A70),INDEX('Scope Checklist'!$B:$B,$A70),"")</f>
        <v/>
      </c>
      <c r="Q70" s="129" t="str">
        <f aca="false">IF(ISNUMBER($A70),INDEX('Scope Checklist'!$E:$E,$A70),"")</f>
        <v/>
      </c>
      <c r="R70" s="129" t="n">
        <f aca="false">IF(AND(ISNUMBER($A70),ISNUMBER($I70),ISNUMBER($H70)),$I70,0)</f>
        <v>0</v>
      </c>
      <c r="S70" s="130" t="n">
        <f aca="false">IF(ISNUMBER($G70),$G70,0)</f>
        <v>0</v>
      </c>
      <c r="T70" s="130" t="n">
        <f aca="false">IF(ISNUMBER($H70),$H70,S70)</f>
        <v>0</v>
      </c>
      <c r="U70" s="131" t="n">
        <f aca="false">IF(ISNUMBER($A70),IF(Q70="Complete",1,N(INDEX('Scope Checklist'!$I:$I,$A70))),0)</f>
        <v>0</v>
      </c>
      <c r="V70" s="131" t="n">
        <f aca="false">IF(OR(NOT(ISNUMBER($A70)),S70=0),0,IF(Dashboard!$C$4&lt;S70,0,IF(Dashboard!$C$4&gt;=T70,1,NETWORKDAYS(S70,Dashboard!$C$4,$M$6:$M$11)/NETWORKDAYS(S70,T70,$M$6:$M$11))))</f>
        <v>0</v>
      </c>
      <c r="W70" s="129" t="n">
        <f aca="false">R70*U70</f>
        <v>0</v>
      </c>
      <c r="X70" s="129" t="n">
        <f aca="false">R70*V70</f>
        <v>0</v>
      </c>
      <c r="Y70" s="132" t="b">
        <f aca="false">AND(ISNUMBER($A70),ISNUMBER($I70),T70&gt;0,T70&lt;Dashboard!$C$4,U70&lt;1)</f>
        <v>0</v>
      </c>
      <c r="Z70" s="129" t="str">
        <f aca="false">IF(Y70,COUNTIF(Y$6:Y70,TRUE()),"")</f>
        <v/>
      </c>
      <c r="AA70" s="132" t="b">
        <f aca="false">AND(ISNUMBER($A70),ISNUMBER($I70),U70&lt;1,NOT(Y70),S70&gt;0,S70&lt;=WORKDAY(Dashboard!$C$4,10,$M$6:$M$11),T70&gt;=Dashboard!$C$4)</f>
        <v>0</v>
      </c>
      <c r="AB70" s="129" t="str">
        <f aca="false">IF(AA70,COUNTIF(AA$6:AA70,TRUE()),"")</f>
        <v/>
      </c>
    </row>
    <row r="71" customFormat="false" ht="23.85" hidden="false" customHeight="false" outlineLevel="0" collapsed="false">
      <c r="A71" s="133" t="n">
        <v>76</v>
      </c>
      <c r="B71" s="134" t="str">
        <f aca="false">IF('Scope Checklist'!A76="","-",'Scope Checklist'!A76)</f>
        <v>N11</v>
      </c>
      <c r="C71" s="135" t="str">
        <f aca="false">'Scope Checklist'!D76</f>
        <v>Cabinet order - field-verify dimensions, PO + fabrication (3-4 wk)</v>
      </c>
      <c r="D71" s="62" t="s">
        <v>745</v>
      </c>
      <c r="E71" s="136" t="n">
        <v>0</v>
      </c>
      <c r="F71" s="136" t="n">
        <v>20</v>
      </c>
      <c r="G71" s="64" t="n">
        <f aca="false">WORKDAY(MAX(H35,H11),1+E71,$M$6:$M$11)</f>
        <v>46378</v>
      </c>
      <c r="H71" s="64" t="n">
        <f aca="false">WORKDAY(G71,F71-1,$M$6:$M$11)</f>
        <v>46408</v>
      </c>
      <c r="I71" s="136" t="n">
        <v>6</v>
      </c>
      <c r="J71" s="133" t="s">
        <v>146</v>
      </c>
      <c r="K71" s="62" t="s">
        <v>746</v>
      </c>
      <c r="P71" s="129" t="str">
        <f aca="false">IF(ISNUMBER($A71),INDEX('Scope Checklist'!$B:$B,$A71),"")</f>
        <v>Kitchen</v>
      </c>
      <c r="Q71" s="129" t="str">
        <f aca="false">IF(ISNUMBER($A71),INDEX('Scope Checklist'!$E:$E,$A71),"")</f>
        <v>Pending</v>
      </c>
      <c r="R71" s="129" t="n">
        <f aca="false">IF(AND(ISNUMBER($A71),ISNUMBER($I71),ISNUMBER($H71)),$I71,0)</f>
        <v>6</v>
      </c>
      <c r="S71" s="130" t="n">
        <f aca="false">IF(ISNUMBER($G71),$G71,0)</f>
        <v>46378</v>
      </c>
      <c r="T71" s="130" t="n">
        <f aca="false">IF(ISNUMBER($H71),$H71,S71)</f>
        <v>46408</v>
      </c>
      <c r="U71" s="131" t="n">
        <f aca="false">IF(ISNUMBER($A71),IF(Q71="Complete",1,N(INDEX('Scope Checklist'!$I:$I,$A71))),0)</f>
        <v>0</v>
      </c>
      <c r="V71" s="131" t="n">
        <f aca="false">IF(OR(NOT(ISNUMBER($A71)),S71=0),0,IF(Dashboard!$C$4&lt;S71,0,IF(Dashboard!$C$4&gt;=T71,1,NETWORKDAYS(S71,Dashboard!$C$4,$M$6:$M$11)/NETWORKDAYS(S71,T71,$M$6:$M$11))))</f>
        <v>0</v>
      </c>
      <c r="W71" s="129" t="n">
        <f aca="false">R71*U71</f>
        <v>0</v>
      </c>
      <c r="X71" s="129" t="n">
        <f aca="false">R71*V71</f>
        <v>0</v>
      </c>
      <c r="Y71" s="132" t="b">
        <f aca="false">AND(ISNUMBER($A71),ISNUMBER($I71),T71&gt;0,T71&lt;Dashboard!$C$4,U71&lt;1)</f>
        <v>0</v>
      </c>
      <c r="Z71" s="129" t="str">
        <f aca="false">IF(Y71,COUNTIF(Y$6:Y71,TRUE()),"")</f>
        <v/>
      </c>
      <c r="AA71" s="132" t="b">
        <f aca="false">AND(ISNUMBER($A71),ISNUMBER($I71),U71&lt;1,NOT(Y71),S71&gt;0,S71&lt;=WORKDAY(Dashboard!$C$4,10,$M$6:$M$11),T71&gt;=Dashboard!$C$4)</f>
        <v>0</v>
      </c>
      <c r="AB71" s="129" t="str">
        <f aca="false">IF(AA71,COUNTIF(AA$6:AA71,TRUE()),"")</f>
        <v/>
      </c>
    </row>
    <row r="72" customFormat="false" ht="15" hidden="false" customHeight="false" outlineLevel="0" collapsed="false">
      <c r="A72" s="133" t="n">
        <v>77</v>
      </c>
      <c r="B72" s="134" t="n">
        <f aca="false">IF('Scope Checklist'!A77="","-",'Scope Checklist'!A77)</f>
        <v>80</v>
      </c>
      <c r="C72" s="135" t="str">
        <f aca="false">'Scope Checklist'!D77</f>
        <v>Kitchen cabinets + bathroom vanities (combined contract)</v>
      </c>
      <c r="D72" s="62" t="s">
        <v>747</v>
      </c>
      <c r="E72" s="136" t="n">
        <v>0</v>
      </c>
      <c r="F72" s="136" t="n">
        <v>2</v>
      </c>
      <c r="G72" s="64" t="n">
        <f aca="false">WORKDAY(MAX(H41,H71,H116),1+E72,$M$6:$M$11)</f>
        <v>46426</v>
      </c>
      <c r="H72" s="64" t="n">
        <f aca="false">WORKDAY(G72,F72-1,$M$6:$M$11)</f>
        <v>46427</v>
      </c>
      <c r="I72" s="136" t="n">
        <v>16</v>
      </c>
      <c r="J72" s="133" t="s">
        <v>164</v>
      </c>
      <c r="K72" s="62" t="s">
        <v>748</v>
      </c>
      <c r="P72" s="129" t="str">
        <f aca="false">IF(ISNUMBER($A72),INDEX('Scope Checklist'!$B:$B,$A72),"")</f>
        <v>Kitchen</v>
      </c>
      <c r="Q72" s="129" t="str">
        <f aca="false">IF(ISNUMBER($A72),INDEX('Scope Checklist'!$E:$E,$A72),"")</f>
        <v>In Progress</v>
      </c>
      <c r="R72" s="129" t="n">
        <f aca="false">IF(AND(ISNUMBER($A72),ISNUMBER($I72),ISNUMBER($H72)),$I72,0)</f>
        <v>16</v>
      </c>
      <c r="S72" s="130" t="n">
        <f aca="false">IF(ISNUMBER($G72),$G72,0)</f>
        <v>46426</v>
      </c>
      <c r="T72" s="130" t="n">
        <f aca="false">IF(ISNUMBER($H72),$H72,S72)</f>
        <v>46427</v>
      </c>
      <c r="U72" s="131" t="n">
        <f aca="false">IF(ISNUMBER($A72),IF(Q72="Complete",1,N(INDEX('Scope Checklist'!$I:$I,$A72))),0)</f>
        <v>0</v>
      </c>
      <c r="V72" s="131" t="n">
        <f aca="false">IF(OR(NOT(ISNUMBER($A72)),S72=0),0,IF(Dashboard!$C$4&lt;S72,0,IF(Dashboard!$C$4&gt;=T72,1,NETWORKDAYS(S72,Dashboard!$C$4,$M$6:$M$11)/NETWORKDAYS(S72,T72,$M$6:$M$11))))</f>
        <v>0</v>
      </c>
      <c r="W72" s="129" t="n">
        <f aca="false">R72*U72</f>
        <v>0</v>
      </c>
      <c r="X72" s="129" t="n">
        <f aca="false">R72*V72</f>
        <v>0</v>
      </c>
      <c r="Y72" s="132" t="b">
        <f aca="false">AND(ISNUMBER($A72),ISNUMBER($I72),T72&gt;0,T72&lt;Dashboard!$C$4,U72&lt;1)</f>
        <v>0</v>
      </c>
      <c r="Z72" s="129" t="str">
        <f aca="false">IF(Y72,COUNTIF(Y$6:Y72,TRUE()),"")</f>
        <v/>
      </c>
      <c r="AA72" s="132" t="b">
        <f aca="false">AND(ISNUMBER($A72),ISNUMBER($I72),U72&lt;1,NOT(Y72),S72&gt;0,S72&lt;=WORKDAY(Dashboard!$C$4,10,$M$6:$M$11),T72&gt;=Dashboard!$C$4)</f>
        <v>0</v>
      </c>
      <c r="AB72" s="129" t="str">
        <f aca="false">IF(AA72,COUNTIF(AA$6:AA72,TRUE()),"")</f>
        <v/>
      </c>
    </row>
    <row r="73" customFormat="false" ht="23.85" hidden="false" customHeight="false" outlineLevel="0" collapsed="false">
      <c r="A73" s="133" t="n">
        <v>78</v>
      </c>
      <c r="B73" s="134" t="n">
        <f aca="false">IF('Scope Checklist'!A78="","-",'Scope Checklist'!A78)</f>
        <v>81</v>
      </c>
      <c r="C73" s="135" t="str">
        <f aca="false">'Scope Checklist'!D78</f>
        <v>Stone countertops + backsplash (kitchen + baths)</v>
      </c>
      <c r="D73" s="62" t="s">
        <v>749</v>
      </c>
      <c r="E73" s="136" t="n">
        <v>0</v>
      </c>
      <c r="F73" s="136" t="n">
        <v>8</v>
      </c>
      <c r="G73" s="64" t="n">
        <f aca="false">WORKDAY(H72,1+E73,$M$6:$M$11)</f>
        <v>46428</v>
      </c>
      <c r="H73" s="64" t="n">
        <f aca="false">WORKDAY(G73,F73-1,$M$6:$M$11)</f>
        <v>46437</v>
      </c>
      <c r="I73" s="136" t="n">
        <v>12</v>
      </c>
      <c r="J73" s="133" t="s">
        <v>299</v>
      </c>
      <c r="K73" s="62" t="s">
        <v>750</v>
      </c>
      <c r="P73" s="129" t="str">
        <f aca="false">IF(ISNUMBER($A73),INDEX('Scope Checklist'!$B:$B,$A73),"")</f>
        <v>Kitchen</v>
      </c>
      <c r="Q73" s="129" t="str">
        <f aca="false">IF(ISNUMBER($A73),INDEX('Scope Checklist'!$E:$E,$A73),"")</f>
        <v>Pending</v>
      </c>
      <c r="R73" s="129" t="n">
        <f aca="false">IF(AND(ISNUMBER($A73),ISNUMBER($I73),ISNUMBER($H73)),$I73,0)</f>
        <v>12</v>
      </c>
      <c r="S73" s="130" t="n">
        <f aca="false">IF(ISNUMBER($G73),$G73,0)</f>
        <v>46428</v>
      </c>
      <c r="T73" s="130" t="n">
        <f aca="false">IF(ISNUMBER($H73),$H73,S73)</f>
        <v>46437</v>
      </c>
      <c r="U73" s="131" t="n">
        <f aca="false">IF(ISNUMBER($A73),IF(Q73="Complete",1,N(INDEX('Scope Checklist'!$I:$I,$A73))),0)</f>
        <v>0</v>
      </c>
      <c r="V73" s="131" t="n">
        <f aca="false">IF(OR(NOT(ISNUMBER($A73)),S73=0),0,IF(Dashboard!$C$4&lt;S73,0,IF(Dashboard!$C$4&gt;=T73,1,NETWORKDAYS(S73,Dashboard!$C$4,$M$6:$M$11)/NETWORKDAYS(S73,T73,$M$6:$M$11))))</f>
        <v>0</v>
      </c>
      <c r="W73" s="129" t="n">
        <f aca="false">R73*U73</f>
        <v>0</v>
      </c>
      <c r="X73" s="129" t="n">
        <f aca="false">R73*V73</f>
        <v>0</v>
      </c>
      <c r="Y73" s="132" t="b">
        <f aca="false">AND(ISNUMBER($A73),ISNUMBER($I73),T73&gt;0,T73&lt;Dashboard!$C$4,U73&lt;1)</f>
        <v>0</v>
      </c>
      <c r="Z73" s="129" t="str">
        <f aca="false">IF(Y73,COUNTIF(Y$6:Y73,TRUE()),"")</f>
        <v/>
      </c>
      <c r="AA73" s="132" t="b">
        <f aca="false">AND(ISNUMBER($A73),ISNUMBER($I73),U73&lt;1,NOT(Y73),S73&gt;0,S73&lt;=WORKDAY(Dashboard!$C$4,10,$M$6:$M$11),T73&gt;=Dashboard!$C$4)</f>
        <v>0</v>
      </c>
      <c r="AB73" s="129" t="str">
        <f aca="false">IF(AA73,COUNTIF(AA$6:AA73,TRUE()),"")</f>
        <v/>
      </c>
    </row>
    <row r="74" customFormat="false" ht="23.85" hidden="false" customHeight="false" outlineLevel="0" collapsed="false">
      <c r="A74" s="133" t="n">
        <v>79</v>
      </c>
      <c r="B74" s="134" t="n">
        <f aca="false">IF('Scope Checklist'!A79="","-",'Scope Checklist'!A79)</f>
        <v>82</v>
      </c>
      <c r="C74" s="135" t="str">
        <f aca="false">'Scope Checklist'!D79</f>
        <v>Kitchen sink - purchase</v>
      </c>
      <c r="D74" s="62" t="s">
        <v>751</v>
      </c>
      <c r="E74" s="136" t="n">
        <v>5</v>
      </c>
      <c r="F74" s="136" t="n">
        <v>5</v>
      </c>
      <c r="G74" s="64" t="n">
        <f aca="false">WORKDAY(G71,E74,$M$6:$M$11)</f>
        <v>46387</v>
      </c>
      <c r="H74" s="64" t="n">
        <f aca="false">WORKDAY(G74,F74-1,$M$6:$M$11)</f>
        <v>46394</v>
      </c>
      <c r="I74" s="136" t="n">
        <v>3</v>
      </c>
      <c r="J74" s="133" t="s">
        <v>146</v>
      </c>
      <c r="K74" s="62" t="s">
        <v>752</v>
      </c>
      <c r="P74" s="129" t="str">
        <f aca="false">IF(ISNUMBER($A74),INDEX('Scope Checklist'!$B:$B,$A74),"")</f>
        <v>Kitchen</v>
      </c>
      <c r="Q74" s="129" t="str">
        <f aca="false">IF(ISNUMBER($A74),INDEX('Scope Checklist'!$E:$E,$A74),"")</f>
        <v>Pending</v>
      </c>
      <c r="R74" s="129" t="n">
        <f aca="false">IF(AND(ISNUMBER($A74),ISNUMBER($I74),ISNUMBER($H74)),$I74,0)</f>
        <v>3</v>
      </c>
      <c r="S74" s="130" t="n">
        <f aca="false">IF(ISNUMBER($G74),$G74,0)</f>
        <v>46387</v>
      </c>
      <c r="T74" s="130" t="n">
        <f aca="false">IF(ISNUMBER($H74),$H74,S74)</f>
        <v>46394</v>
      </c>
      <c r="U74" s="131" t="n">
        <f aca="false">IF(ISNUMBER($A74),IF(Q74="Complete",1,N(INDEX('Scope Checklist'!$I:$I,$A74))),0)</f>
        <v>0</v>
      </c>
      <c r="V74" s="131" t="n">
        <f aca="false">IF(OR(NOT(ISNUMBER($A74)),S74=0),0,IF(Dashboard!$C$4&lt;S74,0,IF(Dashboard!$C$4&gt;=T74,1,NETWORKDAYS(S74,Dashboard!$C$4,$M$6:$M$11)/NETWORKDAYS(S74,T74,$M$6:$M$11))))</f>
        <v>0</v>
      </c>
      <c r="W74" s="129" t="n">
        <f aca="false">R74*U74</f>
        <v>0</v>
      </c>
      <c r="X74" s="129" t="n">
        <f aca="false">R74*V74</f>
        <v>0</v>
      </c>
      <c r="Y74" s="132" t="b">
        <f aca="false">AND(ISNUMBER($A74),ISNUMBER($I74),T74&gt;0,T74&lt;Dashboard!$C$4,U74&lt;1)</f>
        <v>0</v>
      </c>
      <c r="Z74" s="129" t="str">
        <f aca="false">IF(Y74,COUNTIF(Y$6:Y74,TRUE()),"")</f>
        <v/>
      </c>
      <c r="AA74" s="132" t="b">
        <f aca="false">AND(ISNUMBER($A74),ISNUMBER($I74),U74&lt;1,NOT(Y74),S74&gt;0,S74&lt;=WORKDAY(Dashboard!$C$4,10,$M$6:$M$11),T74&gt;=Dashboard!$C$4)</f>
        <v>0</v>
      </c>
      <c r="AB74" s="129" t="str">
        <f aca="false">IF(AA74,COUNTIF(AA$6:AA74,TRUE()),"")</f>
        <v/>
      </c>
    </row>
    <row r="75" customFormat="false" ht="15" hidden="false" customHeight="false" outlineLevel="0" collapsed="false">
      <c r="A75" s="133" t="n">
        <v>80</v>
      </c>
      <c r="B75" s="134" t="n">
        <f aca="false">IF('Scope Checklist'!A80="","-",'Scope Checklist'!A80)</f>
        <v>83</v>
      </c>
      <c r="C75" s="135" t="str">
        <f aca="false">'Scope Checklist'!D80</f>
        <v>Kitchen faucet</v>
      </c>
      <c r="D75" s="62" t="s">
        <v>753</v>
      </c>
      <c r="E75" s="136" t="n">
        <v>5</v>
      </c>
      <c r="F75" s="136" t="n">
        <v>5</v>
      </c>
      <c r="G75" s="64" t="n">
        <f aca="false">WORKDAY(G71,E75,$M$6:$M$11)</f>
        <v>46387</v>
      </c>
      <c r="H75" s="64" t="n">
        <f aca="false">WORKDAY(G75,F75-1,$M$6:$M$11)</f>
        <v>46394</v>
      </c>
      <c r="I75" s="136" t="n">
        <v>2</v>
      </c>
      <c r="J75" s="133" t="s">
        <v>249</v>
      </c>
      <c r="K75" s="62" t="s">
        <v>754</v>
      </c>
      <c r="P75" s="129" t="str">
        <f aca="false">IF(ISNUMBER($A75),INDEX('Scope Checklist'!$B:$B,$A75),"")</f>
        <v>Kitchen</v>
      </c>
      <c r="Q75" s="129" t="str">
        <f aca="false">IF(ISNUMBER($A75),INDEX('Scope Checklist'!$E:$E,$A75),"")</f>
        <v>Pending</v>
      </c>
      <c r="R75" s="129" t="n">
        <f aca="false">IF(AND(ISNUMBER($A75),ISNUMBER($I75),ISNUMBER($H75)),$I75,0)</f>
        <v>2</v>
      </c>
      <c r="S75" s="130" t="n">
        <f aca="false">IF(ISNUMBER($G75),$G75,0)</f>
        <v>46387</v>
      </c>
      <c r="T75" s="130" t="n">
        <f aca="false">IF(ISNUMBER($H75),$H75,S75)</f>
        <v>46394</v>
      </c>
      <c r="U75" s="131" t="n">
        <f aca="false">IF(ISNUMBER($A75),IF(Q75="Complete",1,N(INDEX('Scope Checklist'!$I:$I,$A75))),0)</f>
        <v>0</v>
      </c>
      <c r="V75" s="131" t="n">
        <f aca="false">IF(OR(NOT(ISNUMBER($A75)),S75=0),0,IF(Dashboard!$C$4&lt;S75,0,IF(Dashboard!$C$4&gt;=T75,1,NETWORKDAYS(S75,Dashboard!$C$4,$M$6:$M$11)/NETWORKDAYS(S75,T75,$M$6:$M$11))))</f>
        <v>0</v>
      </c>
      <c r="W75" s="129" t="n">
        <f aca="false">R75*U75</f>
        <v>0</v>
      </c>
      <c r="X75" s="129" t="n">
        <f aca="false">R75*V75</f>
        <v>0</v>
      </c>
      <c r="Y75" s="132" t="b">
        <f aca="false">AND(ISNUMBER($A75),ISNUMBER($I75),T75&gt;0,T75&lt;Dashboard!$C$4,U75&lt;1)</f>
        <v>0</v>
      </c>
      <c r="Z75" s="129" t="str">
        <f aca="false">IF(Y75,COUNTIF(Y$6:Y75,TRUE()),"")</f>
        <v/>
      </c>
      <c r="AA75" s="132" t="b">
        <f aca="false">AND(ISNUMBER($A75),ISNUMBER($I75),U75&lt;1,NOT(Y75),S75&gt;0,S75&lt;=WORKDAY(Dashboard!$C$4,10,$M$6:$M$11),T75&gt;=Dashboard!$C$4)</f>
        <v>0</v>
      </c>
      <c r="AB75" s="129" t="str">
        <f aca="false">IF(AA75,COUNTIF(AA$6:AA75,TRUE()),"")</f>
        <v/>
      </c>
    </row>
    <row r="76" customFormat="false" ht="23.85" hidden="false" customHeight="false" outlineLevel="0" collapsed="false">
      <c r="A76" s="133" t="n">
        <v>81</v>
      </c>
      <c r="B76" s="134" t="n">
        <f aca="false">IF('Scope Checklist'!A81="","-",'Scope Checklist'!A81)</f>
        <v>84</v>
      </c>
      <c r="C76" s="135" t="str">
        <f aca="false">'Scope Checklist'!D81</f>
        <v>Appliance package - purchase, transport, install</v>
      </c>
      <c r="D76" s="62" t="s">
        <v>755</v>
      </c>
      <c r="E76" s="136" t="n">
        <v>5</v>
      </c>
      <c r="F76" s="136" t="n">
        <v>10</v>
      </c>
      <c r="G76" s="64" t="n">
        <f aca="false">WORKDAY(G71,E76,$M$6:$M$11)</f>
        <v>46387</v>
      </c>
      <c r="H76" s="64" t="n">
        <f aca="false">WORKDAY(G76,F76-1,$M$6:$M$11)</f>
        <v>46401</v>
      </c>
      <c r="I76" s="136" t="n">
        <v>16</v>
      </c>
      <c r="J76" s="133" t="s">
        <v>146</v>
      </c>
      <c r="K76" s="62" t="s">
        <v>756</v>
      </c>
      <c r="P76" s="129" t="str">
        <f aca="false">IF(ISNUMBER($A76),INDEX('Scope Checklist'!$B:$B,$A76),"")</f>
        <v>Kitchen</v>
      </c>
      <c r="Q76" s="129" t="str">
        <f aca="false">IF(ISNUMBER($A76),INDEX('Scope Checklist'!$E:$E,$A76),"")</f>
        <v>Pending</v>
      </c>
      <c r="R76" s="129" t="n">
        <f aca="false">IF(AND(ISNUMBER($A76),ISNUMBER($I76),ISNUMBER($H76)),$I76,0)</f>
        <v>16</v>
      </c>
      <c r="S76" s="130" t="n">
        <f aca="false">IF(ISNUMBER($G76),$G76,0)</f>
        <v>46387</v>
      </c>
      <c r="T76" s="130" t="n">
        <f aca="false">IF(ISNUMBER($H76),$H76,S76)</f>
        <v>46401</v>
      </c>
      <c r="U76" s="131" t="n">
        <f aca="false">IF(ISNUMBER($A76),IF(Q76="Complete",1,N(INDEX('Scope Checklist'!$I:$I,$A76))),0)</f>
        <v>0</v>
      </c>
      <c r="V76" s="131" t="n">
        <f aca="false">IF(OR(NOT(ISNUMBER($A76)),S76=0),0,IF(Dashboard!$C$4&lt;S76,0,IF(Dashboard!$C$4&gt;=T76,1,NETWORKDAYS(S76,Dashboard!$C$4,$M$6:$M$11)/NETWORKDAYS(S76,T76,$M$6:$M$11))))</f>
        <v>0</v>
      </c>
      <c r="W76" s="129" t="n">
        <f aca="false">R76*U76</f>
        <v>0</v>
      </c>
      <c r="X76" s="129" t="n">
        <f aca="false">R76*V76</f>
        <v>0</v>
      </c>
      <c r="Y76" s="132" t="b">
        <f aca="false">AND(ISNUMBER($A76),ISNUMBER($I76),T76&gt;0,T76&lt;Dashboard!$C$4,U76&lt;1)</f>
        <v>0</v>
      </c>
      <c r="Z76" s="129" t="str">
        <f aca="false">IF(Y76,COUNTIF(Y$6:Y76,TRUE()),"")</f>
        <v/>
      </c>
      <c r="AA76" s="132" t="b">
        <f aca="false">AND(ISNUMBER($A76),ISNUMBER($I76),U76&lt;1,NOT(Y76),S76&gt;0,S76&lt;=WORKDAY(Dashboard!$C$4,10,$M$6:$M$11),T76&gt;=Dashboard!$C$4)</f>
        <v>0</v>
      </c>
      <c r="AB76" s="129" t="str">
        <f aca="false">IF(AA76,COUNTIF(AA$6:AA76,TRUE()),"")</f>
        <v/>
      </c>
    </row>
    <row r="77" customFormat="false" ht="23.85" hidden="false" customHeight="false" outlineLevel="0" collapsed="false">
      <c r="A77" s="133" t="n">
        <v>82</v>
      </c>
      <c r="B77" s="134" t="str">
        <f aca="false">IF('Scope Checklist'!A82="","-",'Scope Checklist'!A82)</f>
        <v>N12</v>
      </c>
      <c r="C77" s="135" t="str">
        <f aca="false">'Scope Checklist'!D82</f>
        <v>Appliance install + hook-ups (oven, cooktop, DW, disposal, hood, fridge line)</v>
      </c>
      <c r="D77" s="62" t="s">
        <v>757</v>
      </c>
      <c r="E77" s="136" t="n">
        <v>0</v>
      </c>
      <c r="F77" s="136" t="n">
        <v>2</v>
      </c>
      <c r="G77" s="64" t="n">
        <f aca="false">WORKDAY(MAX(H73,H48,H60),1+E77,$M$6:$M$11)</f>
        <v>46456</v>
      </c>
      <c r="H77" s="64" t="n">
        <f aca="false">WORKDAY(G77,F77-1,$M$6:$M$11)</f>
        <v>46457</v>
      </c>
      <c r="I77" s="136" t="n">
        <v>12</v>
      </c>
      <c r="J77" s="133" t="s">
        <v>184</v>
      </c>
      <c r="K77" s="62" t="s">
        <v>758</v>
      </c>
      <c r="P77" s="129" t="str">
        <f aca="false">IF(ISNUMBER($A77),INDEX('Scope Checklist'!$B:$B,$A77),"")</f>
        <v>Kitchen</v>
      </c>
      <c r="Q77" s="129" t="str">
        <f aca="false">IF(ISNUMBER($A77),INDEX('Scope Checklist'!$E:$E,$A77),"")</f>
        <v>Pending</v>
      </c>
      <c r="R77" s="129" t="n">
        <f aca="false">IF(AND(ISNUMBER($A77),ISNUMBER($I77),ISNUMBER($H77)),$I77,0)</f>
        <v>12</v>
      </c>
      <c r="S77" s="130" t="n">
        <f aca="false">IF(ISNUMBER($G77),$G77,0)</f>
        <v>46456</v>
      </c>
      <c r="T77" s="130" t="n">
        <f aca="false">IF(ISNUMBER($H77),$H77,S77)</f>
        <v>46457</v>
      </c>
      <c r="U77" s="131" t="n">
        <f aca="false">IF(ISNUMBER($A77),IF(Q77="Complete",1,N(INDEX('Scope Checklist'!$I:$I,$A77))),0)</f>
        <v>0</v>
      </c>
      <c r="V77" s="131" t="n">
        <f aca="false">IF(OR(NOT(ISNUMBER($A77)),S77=0),0,IF(Dashboard!$C$4&lt;S77,0,IF(Dashboard!$C$4&gt;=T77,1,NETWORKDAYS(S77,Dashboard!$C$4,$M$6:$M$11)/NETWORKDAYS(S77,T77,$M$6:$M$11))))</f>
        <v>0</v>
      </c>
      <c r="W77" s="129" t="n">
        <f aca="false">R77*U77</f>
        <v>0</v>
      </c>
      <c r="X77" s="129" t="n">
        <f aca="false">R77*V77</f>
        <v>0</v>
      </c>
      <c r="Y77" s="132" t="b">
        <f aca="false">AND(ISNUMBER($A77),ISNUMBER($I77),T77&gt;0,T77&lt;Dashboard!$C$4,U77&lt;1)</f>
        <v>0</v>
      </c>
      <c r="Z77" s="129" t="str">
        <f aca="false">IF(Y77,COUNTIF(Y$6:Y77,TRUE()),"")</f>
        <v/>
      </c>
      <c r="AA77" s="132" t="b">
        <f aca="false">AND(ISNUMBER($A77),ISNUMBER($I77),U77&lt;1,NOT(Y77),S77&gt;0,S77&lt;=WORKDAY(Dashboard!$C$4,10,$M$6:$M$11),T77&gt;=Dashboard!$C$4)</f>
        <v>0</v>
      </c>
      <c r="AB77" s="129" t="str">
        <f aca="false">IF(AA77,COUNTIF(AA$6:AA77,TRUE()),"")</f>
        <v/>
      </c>
    </row>
    <row r="78" customFormat="false" ht="23.85" hidden="false" customHeight="false" outlineLevel="0" collapsed="false">
      <c r="A78" s="133" t="n">
        <v>83</v>
      </c>
      <c r="B78" s="134" t="n">
        <f aca="false">IF('Scope Checklist'!A83="","-",'Scope Checklist'!A83)</f>
        <v>86</v>
      </c>
      <c r="C78" s="135" t="str">
        <f aca="false">'Scope Checklist'!D83</f>
        <v>Under-cabinet lighting</v>
      </c>
      <c r="D78" s="62" t="s">
        <v>759</v>
      </c>
      <c r="E78" s="136" t="n">
        <v>0</v>
      </c>
      <c r="F78" s="136" t="n">
        <v>1</v>
      </c>
      <c r="G78" s="64" t="n">
        <f aca="false">WORKDAY(G48,E78,$M$6:$M$11)</f>
        <v>46451</v>
      </c>
      <c r="H78" s="64" t="n">
        <f aca="false">WORKDAY(G78,F78-1,$M$6:$M$11)</f>
        <v>46451</v>
      </c>
      <c r="I78" s="136" t="n">
        <v>4</v>
      </c>
      <c r="J78" s="133" t="s">
        <v>146</v>
      </c>
      <c r="K78" s="62" t="s">
        <v>760</v>
      </c>
      <c r="P78" s="129" t="str">
        <f aca="false">IF(ISNUMBER($A78),INDEX('Scope Checklist'!$B:$B,$A78),"")</f>
        <v>Kitchen</v>
      </c>
      <c r="Q78" s="129" t="str">
        <f aca="false">IF(ISNUMBER($A78),INDEX('Scope Checklist'!$E:$E,$A78),"")</f>
        <v>Pending</v>
      </c>
      <c r="R78" s="129" t="n">
        <f aca="false">IF(AND(ISNUMBER($A78),ISNUMBER($I78),ISNUMBER($H78)),$I78,0)</f>
        <v>4</v>
      </c>
      <c r="S78" s="130" t="n">
        <f aca="false">IF(ISNUMBER($G78),$G78,0)</f>
        <v>46451</v>
      </c>
      <c r="T78" s="130" t="n">
        <f aca="false">IF(ISNUMBER($H78),$H78,S78)</f>
        <v>46451</v>
      </c>
      <c r="U78" s="131" t="n">
        <f aca="false">IF(ISNUMBER($A78),IF(Q78="Complete",1,N(INDEX('Scope Checklist'!$I:$I,$A78))),0)</f>
        <v>0</v>
      </c>
      <c r="V78" s="131" t="n">
        <f aca="false">IF(OR(NOT(ISNUMBER($A78)),S78=0),0,IF(Dashboard!$C$4&lt;S78,0,IF(Dashboard!$C$4&gt;=T78,1,NETWORKDAYS(S78,Dashboard!$C$4,$M$6:$M$11)/NETWORKDAYS(S78,T78,$M$6:$M$11))))</f>
        <v>0</v>
      </c>
      <c r="W78" s="129" t="n">
        <f aca="false">R78*U78</f>
        <v>0</v>
      </c>
      <c r="X78" s="129" t="n">
        <f aca="false">R78*V78</f>
        <v>0</v>
      </c>
      <c r="Y78" s="132" t="b">
        <f aca="false">AND(ISNUMBER($A78),ISNUMBER($I78),T78&gt;0,T78&lt;Dashboard!$C$4,U78&lt;1)</f>
        <v>0</v>
      </c>
      <c r="Z78" s="129" t="str">
        <f aca="false">IF(Y78,COUNTIF(Y$6:Y78,TRUE()),"")</f>
        <v/>
      </c>
      <c r="AA78" s="132" t="b">
        <f aca="false">AND(ISNUMBER($A78),ISNUMBER($I78),U78&lt;1,NOT(Y78),S78&gt;0,S78&lt;=WORKDAY(Dashboard!$C$4,10,$M$6:$M$11),T78&gt;=Dashboard!$C$4)</f>
        <v>0</v>
      </c>
      <c r="AB78" s="129" t="str">
        <f aca="false">IF(AA78,COUNTIF(AA$6:AA78,TRUE()),"")</f>
        <v/>
      </c>
    </row>
    <row r="79" customFormat="false" ht="15" hidden="false" customHeight="false" outlineLevel="0" collapsed="false">
      <c r="A79" s="59" t="s">
        <v>761</v>
      </c>
      <c r="B79" s="127"/>
      <c r="C79" s="127"/>
      <c r="D79" s="127"/>
      <c r="E79" s="127"/>
      <c r="F79" s="127"/>
      <c r="G79" s="127"/>
      <c r="H79" s="127"/>
      <c r="I79" s="127"/>
      <c r="J79" s="127"/>
      <c r="K79" s="127"/>
      <c r="P79" s="129" t="str">
        <f aca="false">IF(ISNUMBER($A79),INDEX('Scope Checklist'!$B:$B,$A79),"")</f>
        <v/>
      </c>
      <c r="Q79" s="129" t="str">
        <f aca="false">IF(ISNUMBER($A79),INDEX('Scope Checklist'!$E:$E,$A79),"")</f>
        <v/>
      </c>
      <c r="R79" s="129" t="n">
        <f aca="false">IF(AND(ISNUMBER($A79),ISNUMBER($I79),ISNUMBER($H79)),$I79,0)</f>
        <v>0</v>
      </c>
      <c r="S79" s="130" t="n">
        <f aca="false">IF(ISNUMBER($G79),$G79,0)</f>
        <v>0</v>
      </c>
      <c r="T79" s="130" t="n">
        <f aca="false">IF(ISNUMBER($H79),$H79,S79)</f>
        <v>0</v>
      </c>
      <c r="U79" s="131" t="n">
        <f aca="false">IF(ISNUMBER($A79),IF(Q79="Complete",1,N(INDEX('Scope Checklist'!$I:$I,$A79))),0)</f>
        <v>0</v>
      </c>
      <c r="V79" s="131" t="n">
        <f aca="false">IF(OR(NOT(ISNUMBER($A79)),S79=0),0,IF(Dashboard!$C$4&lt;S79,0,IF(Dashboard!$C$4&gt;=T79,1,NETWORKDAYS(S79,Dashboard!$C$4,$M$6:$M$11)/NETWORKDAYS(S79,T79,$M$6:$M$11))))</f>
        <v>0</v>
      </c>
      <c r="W79" s="129" t="n">
        <f aca="false">R79*U79</f>
        <v>0</v>
      </c>
      <c r="X79" s="129" t="n">
        <f aca="false">R79*V79</f>
        <v>0</v>
      </c>
      <c r="Y79" s="132" t="b">
        <f aca="false">AND(ISNUMBER($A79),ISNUMBER($I79),T79&gt;0,T79&lt;Dashboard!$C$4,U79&lt;1)</f>
        <v>0</v>
      </c>
      <c r="Z79" s="129" t="str">
        <f aca="false">IF(Y79,COUNTIF(Y$6:Y79,TRUE()),"")</f>
        <v/>
      </c>
      <c r="AA79" s="132" t="b">
        <f aca="false">AND(ISNUMBER($A79),ISNUMBER($I79),U79&lt;1,NOT(Y79),S79&gt;0,S79&lt;=WORKDAY(Dashboard!$C$4,10,$M$6:$M$11),T79&gt;=Dashboard!$C$4)</f>
        <v>0</v>
      </c>
      <c r="AB79" s="129" t="str">
        <f aca="false">IF(AA79,COUNTIF(AA$6:AA79,TRUE()),"")</f>
        <v/>
      </c>
    </row>
    <row r="80" customFormat="false" ht="15" hidden="false" customHeight="false" outlineLevel="0" collapsed="false">
      <c r="A80" s="133" t="n">
        <v>86</v>
      </c>
      <c r="B80" s="134" t="n">
        <f aca="false">IF('Scope Checklist'!A86="","-",'Scope Checklist'!A86)</f>
        <v>94</v>
      </c>
      <c r="C80" s="135" t="str">
        <f aca="false">'Scope Checklist'!D86</f>
        <v>Shower drains - select + purchase (BOTH baths)</v>
      </c>
      <c r="D80" s="62" t="s">
        <v>762</v>
      </c>
      <c r="E80" s="136" t="n">
        <v>0</v>
      </c>
      <c r="F80" s="136" t="n">
        <v>5</v>
      </c>
      <c r="G80" s="64" t="n">
        <f aca="false">WORKDAY(H11,1+E80,$M$6:$M$11)</f>
        <v>46335</v>
      </c>
      <c r="H80" s="64" t="n">
        <f aca="false">WORKDAY(G80,F80-1,$M$6:$M$11)</f>
        <v>46342</v>
      </c>
      <c r="I80" s="136" t="n">
        <v>3</v>
      </c>
      <c r="J80" s="133" t="s">
        <v>146</v>
      </c>
      <c r="K80" s="62" t="s">
        <v>763</v>
      </c>
      <c r="P80" s="129" t="str">
        <f aca="false">IF(ISNUMBER($A80),INDEX('Scope Checklist'!$B:$B,$A80),"")</f>
        <v>Bath - Master</v>
      </c>
      <c r="Q80" s="129" t="str">
        <f aca="false">IF(ISNUMBER($A80),INDEX('Scope Checklist'!$E:$E,$A80),"")</f>
        <v>Pending</v>
      </c>
      <c r="R80" s="129" t="n">
        <f aca="false">IF(AND(ISNUMBER($A80),ISNUMBER($I80),ISNUMBER($H80)),$I80,0)</f>
        <v>3</v>
      </c>
      <c r="S80" s="130" t="n">
        <f aca="false">IF(ISNUMBER($G80),$G80,0)</f>
        <v>46335</v>
      </c>
      <c r="T80" s="130" t="n">
        <f aca="false">IF(ISNUMBER($H80),$H80,S80)</f>
        <v>46342</v>
      </c>
      <c r="U80" s="131" t="n">
        <f aca="false">IF(ISNUMBER($A80),IF(Q80="Complete",1,N(INDEX('Scope Checklist'!$I:$I,$A80))),0)</f>
        <v>0</v>
      </c>
      <c r="V80" s="131" t="n">
        <f aca="false">IF(OR(NOT(ISNUMBER($A80)),S80=0),0,IF(Dashboard!$C$4&lt;S80,0,IF(Dashboard!$C$4&gt;=T80,1,NETWORKDAYS(S80,Dashboard!$C$4,$M$6:$M$11)/NETWORKDAYS(S80,T80,$M$6:$M$11))))</f>
        <v>0</v>
      </c>
      <c r="W80" s="129" t="n">
        <f aca="false">R80*U80</f>
        <v>0</v>
      </c>
      <c r="X80" s="129" t="n">
        <f aca="false">R80*V80</f>
        <v>0</v>
      </c>
      <c r="Y80" s="132" t="b">
        <f aca="false">AND(ISNUMBER($A80),ISNUMBER($I80),T80&gt;0,T80&lt;Dashboard!$C$4,U80&lt;1)</f>
        <v>0</v>
      </c>
      <c r="Z80" s="129" t="str">
        <f aca="false">IF(Y80,COUNTIF(Y$6:Y80,TRUE()),"")</f>
        <v/>
      </c>
      <c r="AA80" s="132" t="b">
        <f aca="false">AND(ISNUMBER($A80),ISNUMBER($I80),U80&lt;1,NOT(Y80),S80&gt;0,S80&lt;=WORKDAY(Dashboard!$C$4,10,$M$6:$M$11),T80&gt;=Dashboard!$C$4)</f>
        <v>0</v>
      </c>
      <c r="AB80" s="129" t="str">
        <f aca="false">IF(AA80,COUNTIF(AA$6:AA80,TRUE()),"")</f>
        <v/>
      </c>
    </row>
    <row r="81" customFormat="false" ht="15" hidden="false" customHeight="false" outlineLevel="0" collapsed="false">
      <c r="A81" s="133" t="n">
        <v>87</v>
      </c>
      <c r="B81" s="134" t="n">
        <f aca="false">IF('Scope Checklist'!A87="","-",'Scope Checklist'!A87)</f>
        <v>88</v>
      </c>
      <c r="C81" s="135" t="str">
        <f aca="false">'Scope Checklist'!D87</f>
        <v>Sink selection - double sinks</v>
      </c>
      <c r="D81" s="62" t="s">
        <v>764</v>
      </c>
      <c r="E81" s="136" t="n">
        <v>5</v>
      </c>
      <c r="F81" s="136" t="n">
        <v>5</v>
      </c>
      <c r="G81" s="64" t="n">
        <f aca="false">WORKDAY(G71,E81,$M$6:$M$11)</f>
        <v>46387</v>
      </c>
      <c r="H81" s="64" t="n">
        <f aca="false">WORKDAY(G81,F81-1,$M$6:$M$11)</f>
        <v>46394</v>
      </c>
      <c r="I81" s="136" t="n">
        <v>2</v>
      </c>
      <c r="J81" s="133" t="s">
        <v>146</v>
      </c>
      <c r="K81" s="62" t="s">
        <v>765</v>
      </c>
      <c r="P81" s="129" t="str">
        <f aca="false">IF(ISNUMBER($A81),INDEX('Scope Checklist'!$B:$B,$A81),"")</f>
        <v>Bath - Master</v>
      </c>
      <c r="Q81" s="129" t="str">
        <f aca="false">IF(ISNUMBER($A81),INDEX('Scope Checklist'!$E:$E,$A81),"")</f>
        <v>Pending</v>
      </c>
      <c r="R81" s="129" t="n">
        <f aca="false">IF(AND(ISNUMBER($A81),ISNUMBER($I81),ISNUMBER($H81)),$I81,0)</f>
        <v>2</v>
      </c>
      <c r="S81" s="130" t="n">
        <f aca="false">IF(ISNUMBER($G81),$G81,0)</f>
        <v>46387</v>
      </c>
      <c r="T81" s="130" t="n">
        <f aca="false">IF(ISNUMBER($H81),$H81,S81)</f>
        <v>46394</v>
      </c>
      <c r="U81" s="131" t="n">
        <f aca="false">IF(ISNUMBER($A81),IF(Q81="Complete",1,N(INDEX('Scope Checklist'!$I:$I,$A81))),0)</f>
        <v>0</v>
      </c>
      <c r="V81" s="131" t="n">
        <f aca="false">IF(OR(NOT(ISNUMBER($A81)),S81=0),0,IF(Dashboard!$C$4&lt;S81,0,IF(Dashboard!$C$4&gt;=T81,1,NETWORKDAYS(S81,Dashboard!$C$4,$M$6:$M$11)/NETWORKDAYS(S81,T81,$M$6:$M$11))))</f>
        <v>0</v>
      </c>
      <c r="W81" s="129" t="n">
        <f aca="false">R81*U81</f>
        <v>0</v>
      </c>
      <c r="X81" s="129" t="n">
        <f aca="false">R81*V81</f>
        <v>0</v>
      </c>
      <c r="Y81" s="132" t="b">
        <f aca="false">AND(ISNUMBER($A81),ISNUMBER($I81),T81&gt;0,T81&lt;Dashboard!$C$4,U81&lt;1)</f>
        <v>0</v>
      </c>
      <c r="Z81" s="129" t="str">
        <f aca="false">IF(Y81,COUNTIF(Y$6:Y81,TRUE()),"")</f>
        <v/>
      </c>
      <c r="AA81" s="132" t="b">
        <f aca="false">AND(ISNUMBER($A81),ISNUMBER($I81),U81&lt;1,NOT(Y81),S81&gt;0,S81&lt;=WORKDAY(Dashboard!$C$4,10,$M$6:$M$11),T81&gt;=Dashboard!$C$4)</f>
        <v>0</v>
      </c>
      <c r="AB81" s="129" t="str">
        <f aca="false">IF(AA81,COUNTIF(AA$6:AA81,TRUE()),"")</f>
        <v/>
      </c>
    </row>
    <row r="82" customFormat="false" ht="23.85" hidden="false" customHeight="false" outlineLevel="0" collapsed="false">
      <c r="A82" s="133" t="n">
        <v>88</v>
      </c>
      <c r="B82" s="134" t="n">
        <f aca="false">IF('Scope Checklist'!A88="","-",'Scope Checklist'!A88)</f>
        <v>95</v>
      </c>
      <c r="C82" s="135" t="str">
        <f aca="false">'Scope Checklist'!D88</f>
        <v>Shower prep - confirm metal frame distance + shower door frame support (BOTH baths)</v>
      </c>
      <c r="D82" s="62" t="s">
        <v>766</v>
      </c>
      <c r="E82" s="136" t="n">
        <v>0</v>
      </c>
      <c r="F82" s="136" t="n">
        <v>1</v>
      </c>
      <c r="G82" s="64" t="n">
        <f aca="false">WORKDAY(H35,1+E82,$M$6:$M$11)</f>
        <v>46378</v>
      </c>
      <c r="H82" s="64" t="n">
        <f aca="false">WORKDAY(G82,F82-1,$M$6:$M$11)</f>
        <v>46378</v>
      </c>
      <c r="I82" s="136" t="n">
        <v>8</v>
      </c>
      <c r="J82" s="133" t="s">
        <v>184</v>
      </c>
      <c r="K82" s="62" t="s">
        <v>767</v>
      </c>
      <c r="P82" s="129" t="str">
        <f aca="false">IF(ISNUMBER($A82),INDEX('Scope Checklist'!$B:$B,$A82),"")</f>
        <v>Bath - Master</v>
      </c>
      <c r="Q82" s="129" t="str">
        <f aca="false">IF(ISNUMBER($A82),INDEX('Scope Checklist'!$E:$E,$A82),"")</f>
        <v>Pending</v>
      </c>
      <c r="R82" s="129" t="n">
        <f aca="false">IF(AND(ISNUMBER($A82),ISNUMBER($I82),ISNUMBER($H82)),$I82,0)</f>
        <v>8</v>
      </c>
      <c r="S82" s="130" t="n">
        <f aca="false">IF(ISNUMBER($G82),$G82,0)</f>
        <v>46378</v>
      </c>
      <c r="T82" s="130" t="n">
        <f aca="false">IF(ISNUMBER($H82),$H82,S82)</f>
        <v>46378</v>
      </c>
      <c r="U82" s="131" t="n">
        <f aca="false">IF(ISNUMBER($A82),IF(Q82="Complete",1,N(INDEX('Scope Checklist'!$I:$I,$A82))),0)</f>
        <v>0</v>
      </c>
      <c r="V82" s="131" t="n">
        <f aca="false">IF(OR(NOT(ISNUMBER($A82)),S82=0),0,IF(Dashboard!$C$4&lt;S82,0,IF(Dashboard!$C$4&gt;=T82,1,NETWORKDAYS(S82,Dashboard!$C$4,$M$6:$M$11)/NETWORKDAYS(S82,T82,$M$6:$M$11))))</f>
        <v>0</v>
      </c>
      <c r="W82" s="129" t="n">
        <f aca="false">R82*U82</f>
        <v>0</v>
      </c>
      <c r="X82" s="129" t="n">
        <f aca="false">R82*V82</f>
        <v>0</v>
      </c>
      <c r="Y82" s="132" t="b">
        <f aca="false">AND(ISNUMBER($A82),ISNUMBER($I82),T82&gt;0,T82&lt;Dashboard!$C$4,U82&lt;1)</f>
        <v>0</v>
      </c>
      <c r="Z82" s="129" t="str">
        <f aca="false">IF(Y82,COUNTIF(Y$6:Y82,TRUE()),"")</f>
        <v/>
      </c>
      <c r="AA82" s="132" t="b">
        <f aca="false">AND(ISNUMBER($A82),ISNUMBER($I82),U82&lt;1,NOT(Y82),S82&gt;0,S82&lt;=WORKDAY(Dashboard!$C$4,10,$M$6:$M$11),T82&gt;=Dashboard!$C$4)</f>
        <v>0</v>
      </c>
      <c r="AB82" s="129" t="str">
        <f aca="false">IF(AA82,COUNTIF(AA$6:AA82,TRUE()),"")</f>
        <v/>
      </c>
    </row>
    <row r="83" customFormat="false" ht="23.85" hidden="false" customHeight="false" outlineLevel="0" collapsed="false">
      <c r="A83" s="133" t="n">
        <v>89</v>
      </c>
      <c r="B83" s="134" t="n">
        <f aca="false">IF('Scope Checklist'!A89="","-",'Scope Checklist'!A89)</f>
        <v>92</v>
      </c>
      <c r="C83" s="135" t="str">
        <f aca="false">'Scope Checklist'!D89</f>
        <v>Tub install</v>
      </c>
      <c r="D83" s="62" t="s">
        <v>768</v>
      </c>
      <c r="E83" s="136" t="n">
        <v>0</v>
      </c>
      <c r="F83" s="136" t="n">
        <v>1</v>
      </c>
      <c r="G83" s="64" t="n">
        <f aca="false">WORKDAY(H38,1+E83,$M$6:$M$11)</f>
        <v>46395</v>
      </c>
      <c r="H83" s="64" t="n">
        <f aca="false">WORKDAY(G83,F83-1,$M$6:$M$11)</f>
        <v>46395</v>
      </c>
      <c r="I83" s="136" t="n">
        <v>8</v>
      </c>
      <c r="J83" s="133" t="s">
        <v>184</v>
      </c>
      <c r="K83" s="62" t="s">
        <v>769</v>
      </c>
      <c r="P83" s="129" t="str">
        <f aca="false">IF(ISNUMBER($A83),INDEX('Scope Checklist'!$B:$B,$A83),"")</f>
        <v>Bath - Master</v>
      </c>
      <c r="Q83" s="129" t="str">
        <f aca="false">IF(ISNUMBER($A83),INDEX('Scope Checklist'!$E:$E,$A83),"")</f>
        <v>Pending</v>
      </c>
      <c r="R83" s="129" t="n">
        <f aca="false">IF(AND(ISNUMBER($A83),ISNUMBER($I83),ISNUMBER($H83)),$I83,0)</f>
        <v>8</v>
      </c>
      <c r="S83" s="130" t="n">
        <f aca="false">IF(ISNUMBER($G83),$G83,0)</f>
        <v>46395</v>
      </c>
      <c r="T83" s="130" t="n">
        <f aca="false">IF(ISNUMBER($H83),$H83,S83)</f>
        <v>46395</v>
      </c>
      <c r="U83" s="131" t="n">
        <f aca="false">IF(ISNUMBER($A83),IF(Q83="Complete",1,N(INDEX('Scope Checklist'!$I:$I,$A83))),0)</f>
        <v>0</v>
      </c>
      <c r="V83" s="131" t="n">
        <f aca="false">IF(OR(NOT(ISNUMBER($A83)),S83=0),0,IF(Dashboard!$C$4&lt;S83,0,IF(Dashboard!$C$4&gt;=T83,1,NETWORKDAYS(S83,Dashboard!$C$4,$M$6:$M$11)/NETWORKDAYS(S83,T83,$M$6:$M$11))))</f>
        <v>0</v>
      </c>
      <c r="W83" s="129" t="n">
        <f aca="false">R83*U83</f>
        <v>0</v>
      </c>
      <c r="X83" s="129" t="n">
        <f aca="false">R83*V83</f>
        <v>0</v>
      </c>
      <c r="Y83" s="132" t="b">
        <f aca="false">AND(ISNUMBER($A83),ISNUMBER($I83),T83&gt;0,T83&lt;Dashboard!$C$4,U83&lt;1)</f>
        <v>0</v>
      </c>
      <c r="Z83" s="129" t="str">
        <f aca="false">IF(Y83,COUNTIF(Y$6:Y83,TRUE()),"")</f>
        <v/>
      </c>
      <c r="AA83" s="132" t="b">
        <f aca="false">AND(ISNUMBER($A83),ISNUMBER($I83),U83&lt;1,NOT(Y83),S83&gt;0,S83&lt;=WORKDAY(Dashboard!$C$4,10,$M$6:$M$11),T83&gt;=Dashboard!$C$4)</f>
        <v>0</v>
      </c>
      <c r="AB83" s="129" t="str">
        <f aca="false">IF(AA83,COUNTIF(AA$6:AA83,TRUE()),"")</f>
        <v/>
      </c>
    </row>
    <row r="84" customFormat="false" ht="23.85" hidden="false" customHeight="false" outlineLevel="0" collapsed="false">
      <c r="A84" s="133" t="n">
        <v>90</v>
      </c>
      <c r="B84" s="134" t="n">
        <f aca="false">IF('Scope Checklist'!A90="","-",'Scope Checklist'!A90)</f>
        <v>97</v>
      </c>
      <c r="C84" s="135" t="str">
        <f aca="false">'Scope Checklist'!D90</f>
        <v>Pan liner install + inspection pass</v>
      </c>
      <c r="D84" s="62" t="s">
        <v>770</v>
      </c>
      <c r="E84" s="136" t="n">
        <v>0</v>
      </c>
      <c r="F84" s="136" t="n">
        <v>3</v>
      </c>
      <c r="G84" s="64" t="n">
        <f aca="false">WORKDAY(MAX(H40,H80),1+E84,$M$6:$M$11)</f>
        <v>46409</v>
      </c>
      <c r="H84" s="64" t="n">
        <f aca="false">WORKDAY(G84,F84-1,$M$6:$M$11)</f>
        <v>46413</v>
      </c>
      <c r="I84" s="136" t="n">
        <v>16</v>
      </c>
      <c r="J84" s="133" t="s">
        <v>184</v>
      </c>
      <c r="K84" s="62" t="s">
        <v>771</v>
      </c>
      <c r="P84" s="129" t="str">
        <f aca="false">IF(ISNUMBER($A84),INDEX('Scope Checklist'!$B:$B,$A84),"")</f>
        <v>Bath - Master</v>
      </c>
      <c r="Q84" s="129" t="str">
        <f aca="false">IF(ISNUMBER($A84),INDEX('Scope Checklist'!$E:$E,$A84),"")</f>
        <v>Pending</v>
      </c>
      <c r="R84" s="129" t="n">
        <f aca="false">IF(AND(ISNUMBER($A84),ISNUMBER($I84),ISNUMBER($H84)),$I84,0)</f>
        <v>16</v>
      </c>
      <c r="S84" s="130" t="n">
        <f aca="false">IF(ISNUMBER($G84),$G84,0)</f>
        <v>46409</v>
      </c>
      <c r="T84" s="130" t="n">
        <f aca="false">IF(ISNUMBER($H84),$H84,S84)</f>
        <v>46413</v>
      </c>
      <c r="U84" s="131" t="n">
        <f aca="false">IF(ISNUMBER($A84),IF(Q84="Complete",1,N(INDEX('Scope Checklist'!$I:$I,$A84))),0)</f>
        <v>0</v>
      </c>
      <c r="V84" s="131" t="n">
        <f aca="false">IF(OR(NOT(ISNUMBER($A84)),S84=0),0,IF(Dashboard!$C$4&lt;S84,0,IF(Dashboard!$C$4&gt;=T84,1,NETWORKDAYS(S84,Dashboard!$C$4,$M$6:$M$11)/NETWORKDAYS(S84,T84,$M$6:$M$11))))</f>
        <v>0</v>
      </c>
      <c r="W84" s="129" t="n">
        <f aca="false">R84*U84</f>
        <v>0</v>
      </c>
      <c r="X84" s="129" t="n">
        <f aca="false">R84*V84</f>
        <v>0</v>
      </c>
      <c r="Y84" s="132" t="b">
        <f aca="false">AND(ISNUMBER($A84),ISNUMBER($I84),T84&gt;0,T84&lt;Dashboard!$C$4,U84&lt;1)</f>
        <v>0</v>
      </c>
      <c r="Z84" s="129" t="str">
        <f aca="false">IF(Y84,COUNTIF(Y$6:Y84,TRUE()),"")</f>
        <v/>
      </c>
      <c r="AA84" s="132" t="b">
        <f aca="false">AND(ISNUMBER($A84),ISNUMBER($I84),U84&lt;1,NOT(Y84),S84&gt;0,S84&lt;=WORKDAY(Dashboard!$C$4,10,$M$6:$M$11),T84&gt;=Dashboard!$C$4)</f>
        <v>0</v>
      </c>
      <c r="AB84" s="129" t="str">
        <f aca="false">IF(AA84,COUNTIF(AA$6:AA84,TRUE()),"")</f>
        <v/>
      </c>
    </row>
    <row r="85" customFormat="false" ht="15" hidden="false" customHeight="false" outlineLevel="0" collapsed="false">
      <c r="A85" s="133" t="n">
        <v>91</v>
      </c>
      <c r="B85" s="134" t="n">
        <f aca="false">IF('Scope Checklist'!A91="","-",'Scope Checklist'!A91)</f>
        <v>96</v>
      </c>
      <c r="C85" s="135" t="str">
        <f aca="false">'Scope Checklist'!D91</f>
        <v>Durock + waterproofing install</v>
      </c>
      <c r="D85" s="62" t="s">
        <v>772</v>
      </c>
      <c r="E85" s="136" t="n">
        <v>0</v>
      </c>
      <c r="F85" s="136" t="n">
        <v>4</v>
      </c>
      <c r="G85" s="64" t="n">
        <f aca="false">WORKDAY(H84,1+E85,$M$6:$M$11)</f>
        <v>46414</v>
      </c>
      <c r="H85" s="64" t="n">
        <f aca="false">WORKDAY(G85,F85-1,$M$6:$M$11)</f>
        <v>46419</v>
      </c>
      <c r="I85" s="136" t="n">
        <v>24</v>
      </c>
      <c r="J85" s="133" t="s">
        <v>184</v>
      </c>
      <c r="K85" s="62" t="s">
        <v>773</v>
      </c>
      <c r="P85" s="129" t="str">
        <f aca="false">IF(ISNUMBER($A85),INDEX('Scope Checklist'!$B:$B,$A85),"")</f>
        <v>Bath - Master</v>
      </c>
      <c r="Q85" s="129" t="str">
        <f aca="false">IF(ISNUMBER($A85),INDEX('Scope Checklist'!$E:$E,$A85),"")</f>
        <v>Pending</v>
      </c>
      <c r="R85" s="129" t="n">
        <f aca="false">IF(AND(ISNUMBER($A85),ISNUMBER($I85),ISNUMBER($H85)),$I85,0)</f>
        <v>24</v>
      </c>
      <c r="S85" s="130" t="n">
        <f aca="false">IF(ISNUMBER($G85),$G85,0)</f>
        <v>46414</v>
      </c>
      <c r="T85" s="130" t="n">
        <f aca="false">IF(ISNUMBER($H85),$H85,S85)</f>
        <v>46419</v>
      </c>
      <c r="U85" s="131" t="n">
        <f aca="false">IF(ISNUMBER($A85),IF(Q85="Complete",1,N(INDEX('Scope Checklist'!$I:$I,$A85))),0)</f>
        <v>0</v>
      </c>
      <c r="V85" s="131" t="n">
        <f aca="false">IF(OR(NOT(ISNUMBER($A85)),S85=0),0,IF(Dashboard!$C$4&lt;S85,0,IF(Dashboard!$C$4&gt;=T85,1,NETWORKDAYS(S85,Dashboard!$C$4,$M$6:$M$11)/NETWORKDAYS(S85,T85,$M$6:$M$11))))</f>
        <v>0</v>
      </c>
      <c r="W85" s="129" t="n">
        <f aca="false">R85*U85</f>
        <v>0</v>
      </c>
      <c r="X85" s="129" t="n">
        <f aca="false">R85*V85</f>
        <v>0</v>
      </c>
      <c r="Y85" s="132" t="b">
        <f aca="false">AND(ISNUMBER($A85),ISNUMBER($I85),T85&gt;0,T85&lt;Dashboard!$C$4,U85&lt;1)</f>
        <v>0</v>
      </c>
      <c r="Z85" s="129" t="str">
        <f aca="false">IF(Y85,COUNTIF(Y$6:Y85,TRUE()),"")</f>
        <v/>
      </c>
      <c r="AA85" s="132" t="b">
        <f aca="false">AND(ISNUMBER($A85),ISNUMBER($I85),U85&lt;1,NOT(Y85),S85&gt;0,S85&lt;=WORKDAY(Dashboard!$C$4,10,$M$6:$M$11),T85&gt;=Dashboard!$C$4)</f>
        <v>0</v>
      </c>
      <c r="AB85" s="129" t="str">
        <f aca="false">IF(AA85,COUNTIF(AA$6:AA85,TRUE()),"")</f>
        <v/>
      </c>
    </row>
    <row r="86" customFormat="false" ht="15" hidden="false" customHeight="false" outlineLevel="0" collapsed="false">
      <c r="A86" s="133" t="n">
        <v>92</v>
      </c>
      <c r="B86" s="134" t="n">
        <f aca="false">IF('Scope Checklist'!A92="","-",'Scope Checklist'!A92)</f>
        <v>93</v>
      </c>
      <c r="C86" s="135" t="str">
        <f aca="false">'Scope Checklist'!D92</f>
        <v>LED niche</v>
      </c>
      <c r="D86" s="62" t="s">
        <v>774</v>
      </c>
      <c r="E86" s="136" t="n">
        <v>0</v>
      </c>
      <c r="F86" s="136" t="n">
        <v>1</v>
      </c>
      <c r="G86" s="64" t="n">
        <f aca="false">WORKDAY(G85,E86,$M$6:$M$11)</f>
        <v>46414</v>
      </c>
      <c r="H86" s="64" t="n">
        <f aca="false">WORKDAY(G86,F86-1,$M$6:$M$11)</f>
        <v>46414</v>
      </c>
      <c r="I86" s="136" t="n">
        <v>3</v>
      </c>
      <c r="J86" s="133" t="s">
        <v>184</v>
      </c>
      <c r="K86" s="62" t="s">
        <v>775</v>
      </c>
      <c r="P86" s="129" t="str">
        <f aca="false">IF(ISNUMBER($A86),INDEX('Scope Checklist'!$B:$B,$A86),"")</f>
        <v>Bath - Master</v>
      </c>
      <c r="Q86" s="129" t="str">
        <f aca="false">IF(ISNUMBER($A86),INDEX('Scope Checklist'!$E:$E,$A86),"")</f>
        <v>Pending</v>
      </c>
      <c r="R86" s="129" t="n">
        <f aca="false">IF(AND(ISNUMBER($A86),ISNUMBER($I86),ISNUMBER($H86)),$I86,0)</f>
        <v>3</v>
      </c>
      <c r="S86" s="130" t="n">
        <f aca="false">IF(ISNUMBER($G86),$G86,0)</f>
        <v>46414</v>
      </c>
      <c r="T86" s="130" t="n">
        <f aca="false">IF(ISNUMBER($H86),$H86,S86)</f>
        <v>46414</v>
      </c>
      <c r="U86" s="131" t="n">
        <f aca="false">IF(ISNUMBER($A86),IF(Q86="Complete",1,N(INDEX('Scope Checklist'!$I:$I,$A86))),0)</f>
        <v>0</v>
      </c>
      <c r="V86" s="131" t="n">
        <f aca="false">IF(OR(NOT(ISNUMBER($A86)),S86=0),0,IF(Dashboard!$C$4&lt;S86,0,IF(Dashboard!$C$4&gt;=T86,1,NETWORKDAYS(S86,Dashboard!$C$4,$M$6:$M$11)/NETWORKDAYS(S86,T86,$M$6:$M$11))))</f>
        <v>0</v>
      </c>
      <c r="W86" s="129" t="n">
        <f aca="false">R86*U86</f>
        <v>0</v>
      </c>
      <c r="X86" s="129" t="n">
        <f aca="false">R86*V86</f>
        <v>0</v>
      </c>
      <c r="Y86" s="132" t="b">
        <f aca="false">AND(ISNUMBER($A86),ISNUMBER($I86),T86&gt;0,T86&lt;Dashboard!$C$4,U86&lt;1)</f>
        <v>0</v>
      </c>
      <c r="Z86" s="129" t="str">
        <f aca="false">IF(Y86,COUNTIF(Y$6:Y86,TRUE()),"")</f>
        <v/>
      </c>
      <c r="AA86" s="132" t="b">
        <f aca="false">AND(ISNUMBER($A86),ISNUMBER($I86),U86&lt;1,NOT(Y86),S86&gt;0,S86&lt;=WORKDAY(Dashboard!$C$4,10,$M$6:$M$11),T86&gt;=Dashboard!$C$4)</f>
        <v>0</v>
      </c>
      <c r="AB86" s="129" t="str">
        <f aca="false">IF(AA86,COUNTIF(AA$6:AA86,TRUE()),"")</f>
        <v/>
      </c>
    </row>
    <row r="87" customFormat="false" ht="15" hidden="false" customHeight="false" outlineLevel="0" collapsed="false">
      <c r="A87" s="133" t="n">
        <v>93</v>
      </c>
      <c r="B87" s="134" t="n">
        <f aca="false">IF('Scope Checklist'!A93="","-",'Scope Checklist'!A93)</f>
        <v>99</v>
      </c>
      <c r="C87" s="135" t="str">
        <f aca="false">'Scope Checklist'!D93</f>
        <v>Metal trim (edge profile) - verify availability</v>
      </c>
      <c r="D87" s="62" t="s">
        <v>776</v>
      </c>
      <c r="E87" s="136" t="n">
        <v>0</v>
      </c>
      <c r="F87" s="136" t="n">
        <v>1</v>
      </c>
      <c r="G87" s="64" t="n">
        <f aca="false">WORKDAY(G84,E87,$M$6:$M$11)</f>
        <v>46409</v>
      </c>
      <c r="H87" s="64" t="n">
        <f aca="false">WORKDAY(G87,F87-1,$M$6:$M$11)</f>
        <v>46409</v>
      </c>
      <c r="I87" s="136" t="n">
        <v>2</v>
      </c>
      <c r="J87" s="133" t="s">
        <v>184</v>
      </c>
      <c r="K87" s="62" t="s">
        <v>777</v>
      </c>
      <c r="P87" s="129" t="str">
        <f aca="false">IF(ISNUMBER($A87),INDEX('Scope Checklist'!$B:$B,$A87),"")</f>
        <v>Bath - Master</v>
      </c>
      <c r="Q87" s="129" t="str">
        <f aca="false">IF(ISNUMBER($A87),INDEX('Scope Checklist'!$E:$E,$A87),"")</f>
        <v>Pending</v>
      </c>
      <c r="R87" s="129" t="n">
        <f aca="false">IF(AND(ISNUMBER($A87),ISNUMBER($I87),ISNUMBER($H87)),$I87,0)</f>
        <v>2</v>
      </c>
      <c r="S87" s="130" t="n">
        <f aca="false">IF(ISNUMBER($G87),$G87,0)</f>
        <v>46409</v>
      </c>
      <c r="T87" s="130" t="n">
        <f aca="false">IF(ISNUMBER($H87),$H87,S87)</f>
        <v>46409</v>
      </c>
      <c r="U87" s="131" t="n">
        <f aca="false">IF(ISNUMBER($A87),IF(Q87="Complete",1,N(INDEX('Scope Checklist'!$I:$I,$A87))),0)</f>
        <v>0</v>
      </c>
      <c r="V87" s="131" t="n">
        <f aca="false">IF(OR(NOT(ISNUMBER($A87)),S87=0),0,IF(Dashboard!$C$4&lt;S87,0,IF(Dashboard!$C$4&gt;=T87,1,NETWORKDAYS(S87,Dashboard!$C$4,$M$6:$M$11)/NETWORKDAYS(S87,T87,$M$6:$M$11))))</f>
        <v>0</v>
      </c>
      <c r="W87" s="129" t="n">
        <f aca="false">R87*U87</f>
        <v>0</v>
      </c>
      <c r="X87" s="129" t="n">
        <f aca="false">R87*V87</f>
        <v>0</v>
      </c>
      <c r="Y87" s="132" t="b">
        <f aca="false">AND(ISNUMBER($A87),ISNUMBER($I87),T87&gt;0,T87&lt;Dashboard!$C$4,U87&lt;1)</f>
        <v>0</v>
      </c>
      <c r="Z87" s="129" t="str">
        <f aca="false">IF(Y87,COUNTIF(Y$6:Y87,TRUE()),"")</f>
        <v/>
      </c>
      <c r="AA87" s="132" t="b">
        <f aca="false">AND(ISNUMBER($A87),ISNUMBER($I87),U87&lt;1,NOT(Y87),S87&gt;0,S87&lt;=WORKDAY(Dashboard!$C$4,10,$M$6:$M$11),T87&gt;=Dashboard!$C$4)</f>
        <v>0</v>
      </c>
      <c r="AB87" s="129" t="str">
        <f aca="false">IF(AA87,COUNTIF(AA$6:AA87,TRUE()),"")</f>
        <v/>
      </c>
    </row>
    <row r="88" customFormat="false" ht="15" hidden="false" customHeight="false" outlineLevel="0" collapsed="false">
      <c r="A88" s="133" t="n">
        <v>94</v>
      </c>
      <c r="B88" s="134" t="str">
        <f aca="false">IF('Scope Checklist'!A94="","-",'Scope Checklist'!A94)</f>
        <v>N13</v>
      </c>
      <c r="C88" s="135" t="str">
        <f aca="false">'Scope Checklist'!D94</f>
        <v>Shower waterproofing inspection PASS - both baths (gate for tile)</v>
      </c>
      <c r="D88" s="62" t="s">
        <v>778</v>
      </c>
      <c r="E88" s="136" t="n">
        <v>0</v>
      </c>
      <c r="F88" s="136" t="n">
        <v>1</v>
      </c>
      <c r="G88" s="64" t="n">
        <f aca="false">WORKDAY(MAX(H85,H103),1+E88,$M$6:$M$11)</f>
        <v>46420</v>
      </c>
      <c r="H88" s="64" t="n">
        <f aca="false">WORKDAY(G88,F88-1,$M$6:$M$11)</f>
        <v>46420</v>
      </c>
      <c r="I88" s="136" t="n">
        <v>4</v>
      </c>
      <c r="J88" s="133" t="s">
        <v>146</v>
      </c>
      <c r="K88" s="62" t="s">
        <v>779</v>
      </c>
      <c r="P88" s="129" t="str">
        <f aca="false">IF(ISNUMBER($A88),INDEX('Scope Checklist'!$B:$B,$A88),"")</f>
        <v>Bath - Master</v>
      </c>
      <c r="Q88" s="129" t="str">
        <f aca="false">IF(ISNUMBER($A88),INDEX('Scope Checklist'!$E:$E,$A88),"")</f>
        <v>Pending</v>
      </c>
      <c r="R88" s="129" t="n">
        <f aca="false">IF(AND(ISNUMBER($A88),ISNUMBER($I88),ISNUMBER($H88)),$I88,0)</f>
        <v>4</v>
      </c>
      <c r="S88" s="130" t="n">
        <f aca="false">IF(ISNUMBER($G88),$G88,0)</f>
        <v>46420</v>
      </c>
      <c r="T88" s="130" t="n">
        <f aca="false">IF(ISNUMBER($H88),$H88,S88)</f>
        <v>46420</v>
      </c>
      <c r="U88" s="131" t="n">
        <f aca="false">IF(ISNUMBER($A88),IF(Q88="Complete",1,N(INDEX('Scope Checklist'!$I:$I,$A88))),0)</f>
        <v>0</v>
      </c>
      <c r="V88" s="131" t="n">
        <f aca="false">IF(OR(NOT(ISNUMBER($A88)),S88=0),0,IF(Dashboard!$C$4&lt;S88,0,IF(Dashboard!$C$4&gt;=T88,1,NETWORKDAYS(S88,Dashboard!$C$4,$M$6:$M$11)/NETWORKDAYS(S88,T88,$M$6:$M$11))))</f>
        <v>0</v>
      </c>
      <c r="W88" s="129" t="n">
        <f aca="false">R88*U88</f>
        <v>0</v>
      </c>
      <c r="X88" s="129" t="n">
        <f aca="false">R88*V88</f>
        <v>0</v>
      </c>
      <c r="Y88" s="132" t="b">
        <f aca="false">AND(ISNUMBER($A88),ISNUMBER($I88),T88&gt;0,T88&lt;Dashboard!$C$4,U88&lt;1)</f>
        <v>0</v>
      </c>
      <c r="Z88" s="129" t="str">
        <f aca="false">IF(Y88,COUNTIF(Y$6:Y88,TRUE()),"")</f>
        <v/>
      </c>
      <c r="AA88" s="132" t="b">
        <f aca="false">AND(ISNUMBER($A88),ISNUMBER($I88),U88&lt;1,NOT(Y88),S88&gt;0,S88&lt;=WORKDAY(Dashboard!$C$4,10,$M$6:$M$11),T88&gt;=Dashboard!$C$4)</f>
        <v>0</v>
      </c>
      <c r="AB88" s="129" t="str">
        <f aca="false">IF(AA88,COUNTIF(AA$6:AA88,TRUE()),"")</f>
        <v/>
      </c>
    </row>
    <row r="89" customFormat="false" ht="15" hidden="false" customHeight="false" outlineLevel="0" collapsed="false">
      <c r="A89" s="133" t="n">
        <v>95</v>
      </c>
      <c r="B89" s="134" t="n">
        <f aca="false">IF('Scope Checklist'!A95="","-",'Scope Checklist'!A95)</f>
        <v>98</v>
      </c>
      <c r="C89" s="135" t="str">
        <f aca="false">'Scope Checklist'!D95</f>
        <v>Bathroom tile installation - labor (BOTH baths)</v>
      </c>
      <c r="D89" s="62" t="s">
        <v>780</v>
      </c>
      <c r="E89" s="136" t="n">
        <v>0</v>
      </c>
      <c r="F89" s="136" t="n">
        <v>10</v>
      </c>
      <c r="G89" s="64" t="n">
        <f aca="false">WORKDAY(MAX(H88,H83,H87,H105,H86,H104),1+E89,$M$6:$M$11)</f>
        <v>46421</v>
      </c>
      <c r="H89" s="64" t="n">
        <f aca="false">WORKDAY(G89,F89-1,$M$6:$M$11)</f>
        <v>46434</v>
      </c>
      <c r="I89" s="136" t="n">
        <v>80</v>
      </c>
      <c r="J89" s="133" t="s">
        <v>194</v>
      </c>
      <c r="K89" s="62" t="s">
        <v>781</v>
      </c>
      <c r="P89" s="129" t="str">
        <f aca="false">IF(ISNUMBER($A89),INDEX('Scope Checklist'!$B:$B,$A89),"")</f>
        <v>Bath - Master</v>
      </c>
      <c r="Q89" s="129" t="str">
        <f aca="false">IF(ISNUMBER($A89),INDEX('Scope Checklist'!$E:$E,$A89),"")</f>
        <v>Pending</v>
      </c>
      <c r="R89" s="129" t="n">
        <f aca="false">IF(AND(ISNUMBER($A89),ISNUMBER($I89),ISNUMBER($H89)),$I89,0)</f>
        <v>80</v>
      </c>
      <c r="S89" s="130" t="n">
        <f aca="false">IF(ISNUMBER($G89),$G89,0)</f>
        <v>46421</v>
      </c>
      <c r="T89" s="130" t="n">
        <f aca="false">IF(ISNUMBER($H89),$H89,S89)</f>
        <v>46434</v>
      </c>
      <c r="U89" s="131" t="n">
        <f aca="false">IF(ISNUMBER($A89),IF(Q89="Complete",1,N(INDEX('Scope Checklist'!$I:$I,$A89))),0)</f>
        <v>0</v>
      </c>
      <c r="V89" s="131" t="n">
        <f aca="false">IF(OR(NOT(ISNUMBER($A89)),S89=0),0,IF(Dashboard!$C$4&lt;S89,0,IF(Dashboard!$C$4&gt;=T89,1,NETWORKDAYS(S89,Dashboard!$C$4,$M$6:$M$11)/NETWORKDAYS(S89,T89,$M$6:$M$11))))</f>
        <v>0</v>
      </c>
      <c r="W89" s="129" t="n">
        <f aca="false">R89*U89</f>
        <v>0</v>
      </c>
      <c r="X89" s="129" t="n">
        <f aca="false">R89*V89</f>
        <v>0</v>
      </c>
      <c r="Y89" s="132" t="b">
        <f aca="false">AND(ISNUMBER($A89),ISNUMBER($I89),T89&gt;0,T89&lt;Dashboard!$C$4,U89&lt;1)</f>
        <v>0</v>
      </c>
      <c r="Z89" s="129" t="str">
        <f aca="false">IF(Y89,COUNTIF(Y$6:Y89,TRUE()),"")</f>
        <v/>
      </c>
      <c r="AA89" s="132" t="b">
        <f aca="false">AND(ISNUMBER($A89),ISNUMBER($I89),U89&lt;1,NOT(Y89),S89&gt;0,S89&lt;=WORKDAY(Dashboard!$C$4,10,$M$6:$M$11),T89&gt;=Dashboard!$C$4)</f>
        <v>0</v>
      </c>
      <c r="AB89" s="129" t="str">
        <f aca="false">IF(AA89,COUNTIF(AA$6:AA89,TRUE()),"")</f>
        <v/>
      </c>
    </row>
    <row r="90" customFormat="false" ht="15" hidden="false" customHeight="false" outlineLevel="0" collapsed="false">
      <c r="A90" s="133" t="n">
        <v>96</v>
      </c>
      <c r="B90" s="134" t="n">
        <f aca="false">IF('Scope Checklist'!A96="","-",'Scope Checklist'!A96)</f>
        <v>102</v>
      </c>
      <c r="C90" s="135" t="str">
        <f aca="false">'Scope Checklist'!D96</f>
        <v>Paint all walls</v>
      </c>
      <c r="D90" s="62" t="s">
        <v>782</v>
      </c>
      <c r="E90" s="136" t="n">
        <v>0</v>
      </c>
      <c r="F90" s="136" t="n">
        <v>2</v>
      </c>
      <c r="G90" s="64" t="n">
        <f aca="false">WORKDAY(H89,1+E90,$M$6:$M$11)</f>
        <v>46435</v>
      </c>
      <c r="H90" s="64" t="n">
        <f aca="false">WORKDAY(G90,F90-1,$M$6:$M$11)</f>
        <v>46436</v>
      </c>
      <c r="I90" s="136" t="n">
        <v>12</v>
      </c>
      <c r="J90" s="133" t="s">
        <v>215</v>
      </c>
      <c r="K90" s="62" t="s">
        <v>722</v>
      </c>
      <c r="P90" s="129" t="str">
        <f aca="false">IF(ISNUMBER($A90),INDEX('Scope Checklist'!$B:$B,$A90),"")</f>
        <v>Bath - Master</v>
      </c>
      <c r="Q90" s="129" t="str">
        <f aca="false">IF(ISNUMBER($A90),INDEX('Scope Checklist'!$E:$E,$A90),"")</f>
        <v>Pending</v>
      </c>
      <c r="R90" s="129" t="n">
        <f aca="false">IF(AND(ISNUMBER($A90),ISNUMBER($I90),ISNUMBER($H90)),$I90,0)</f>
        <v>12</v>
      </c>
      <c r="S90" s="130" t="n">
        <f aca="false">IF(ISNUMBER($G90),$G90,0)</f>
        <v>46435</v>
      </c>
      <c r="T90" s="130" t="n">
        <f aca="false">IF(ISNUMBER($H90),$H90,S90)</f>
        <v>46436</v>
      </c>
      <c r="U90" s="131" t="n">
        <f aca="false">IF(ISNUMBER($A90),IF(Q90="Complete",1,N(INDEX('Scope Checklist'!$I:$I,$A90))),0)</f>
        <v>0</v>
      </c>
      <c r="V90" s="131" t="n">
        <f aca="false">IF(OR(NOT(ISNUMBER($A90)),S90=0),0,IF(Dashboard!$C$4&lt;S90,0,IF(Dashboard!$C$4&gt;=T90,1,NETWORKDAYS(S90,Dashboard!$C$4,$M$6:$M$11)/NETWORKDAYS(S90,T90,$M$6:$M$11))))</f>
        <v>0</v>
      </c>
      <c r="W90" s="129" t="n">
        <f aca="false">R90*U90</f>
        <v>0</v>
      </c>
      <c r="X90" s="129" t="n">
        <f aca="false">R90*V90</f>
        <v>0</v>
      </c>
      <c r="Y90" s="132" t="b">
        <f aca="false">AND(ISNUMBER($A90),ISNUMBER($I90),T90&gt;0,T90&lt;Dashboard!$C$4,U90&lt;1)</f>
        <v>0</v>
      </c>
      <c r="Z90" s="129" t="str">
        <f aca="false">IF(Y90,COUNTIF(Y$6:Y90,TRUE()),"")</f>
        <v/>
      </c>
      <c r="AA90" s="132" t="b">
        <f aca="false">AND(ISNUMBER($A90),ISNUMBER($I90),U90&lt;1,NOT(Y90),S90&gt;0,S90&lt;=WORKDAY(Dashboard!$C$4,10,$M$6:$M$11),T90&gt;=Dashboard!$C$4)</f>
        <v>0</v>
      </c>
      <c r="AB90" s="129" t="str">
        <f aca="false">IF(AA90,COUNTIF(AA$6:AA90,TRUE()),"")</f>
        <v/>
      </c>
    </row>
    <row r="91" customFormat="false" ht="15" hidden="false" customHeight="false" outlineLevel="0" collapsed="false">
      <c r="A91" s="133" t="n">
        <v>97</v>
      </c>
      <c r="B91" s="134" t="n">
        <f aca="false">IF('Scope Checklist'!A97="","-",'Scope Checklist'!A97)</f>
        <v>103</v>
      </c>
      <c r="C91" s="135" t="str">
        <f aca="false">'Scope Checklist'!D97</f>
        <v>Pocket door - verify function + paint</v>
      </c>
      <c r="D91" s="62" t="s">
        <v>783</v>
      </c>
      <c r="E91" s="136" t="n">
        <v>0</v>
      </c>
      <c r="F91" s="136" t="n">
        <v>1</v>
      </c>
      <c r="G91" s="64" t="n">
        <f aca="false">WORKDAY(G90,E91,$M$6:$M$11)</f>
        <v>46435</v>
      </c>
      <c r="H91" s="64" t="n">
        <f aca="false">WORKDAY(G91,F91-1,$M$6:$M$11)</f>
        <v>46435</v>
      </c>
      <c r="I91" s="136" t="n">
        <v>3</v>
      </c>
      <c r="J91" s="133" t="s">
        <v>215</v>
      </c>
      <c r="K91" s="62" t="s">
        <v>722</v>
      </c>
      <c r="P91" s="129" t="str">
        <f aca="false">IF(ISNUMBER($A91),INDEX('Scope Checklist'!$B:$B,$A91),"")</f>
        <v>Bath - Master</v>
      </c>
      <c r="Q91" s="129" t="str">
        <f aca="false">IF(ISNUMBER($A91),INDEX('Scope Checklist'!$E:$E,$A91),"")</f>
        <v>Pending</v>
      </c>
      <c r="R91" s="129" t="n">
        <f aca="false">IF(AND(ISNUMBER($A91),ISNUMBER($I91),ISNUMBER($H91)),$I91,0)</f>
        <v>3</v>
      </c>
      <c r="S91" s="130" t="n">
        <f aca="false">IF(ISNUMBER($G91),$G91,0)</f>
        <v>46435</v>
      </c>
      <c r="T91" s="130" t="n">
        <f aca="false">IF(ISNUMBER($H91),$H91,S91)</f>
        <v>46435</v>
      </c>
      <c r="U91" s="131" t="n">
        <f aca="false">IF(ISNUMBER($A91),IF(Q91="Complete",1,N(INDEX('Scope Checklist'!$I:$I,$A91))),0)</f>
        <v>0</v>
      </c>
      <c r="V91" s="131" t="n">
        <f aca="false">IF(OR(NOT(ISNUMBER($A91)),S91=0),0,IF(Dashboard!$C$4&lt;S91,0,IF(Dashboard!$C$4&gt;=T91,1,NETWORKDAYS(S91,Dashboard!$C$4,$M$6:$M$11)/NETWORKDAYS(S91,T91,$M$6:$M$11))))</f>
        <v>0</v>
      </c>
      <c r="W91" s="129" t="n">
        <f aca="false">R91*U91</f>
        <v>0</v>
      </c>
      <c r="X91" s="129" t="n">
        <f aca="false">R91*V91</f>
        <v>0</v>
      </c>
      <c r="Y91" s="132" t="b">
        <f aca="false">AND(ISNUMBER($A91),ISNUMBER($I91),T91&gt;0,T91&lt;Dashboard!$C$4,U91&lt;1)</f>
        <v>0</v>
      </c>
      <c r="Z91" s="129" t="str">
        <f aca="false">IF(Y91,COUNTIF(Y$6:Y91,TRUE()),"")</f>
        <v/>
      </c>
      <c r="AA91" s="132" t="b">
        <f aca="false">AND(ISNUMBER($A91),ISNUMBER($I91),U91&lt;1,NOT(Y91),S91&gt;0,S91&lt;=WORKDAY(Dashboard!$C$4,10,$M$6:$M$11),T91&gt;=Dashboard!$C$4)</f>
        <v>0</v>
      </c>
      <c r="AB91" s="129" t="str">
        <f aca="false">IF(AA91,COUNTIF(AA$6:AA91,TRUE()),"")</f>
        <v/>
      </c>
    </row>
    <row r="92" customFormat="false" ht="15" hidden="false" customHeight="false" outlineLevel="0" collapsed="false">
      <c r="A92" s="133" t="n">
        <v>98</v>
      </c>
      <c r="B92" s="134" t="n">
        <f aca="false">IF('Scope Checklist'!A98="","-",'Scope Checklist'!A98)</f>
        <v>87</v>
      </c>
      <c r="C92" s="135" t="str">
        <f aca="false">'Scope Checklist'!D98</f>
        <v>Vanity cabinetry - confirm quality</v>
      </c>
      <c r="D92" s="62" t="s">
        <v>784</v>
      </c>
      <c r="E92" s="136" t="n">
        <v>0</v>
      </c>
      <c r="F92" s="136" t="n">
        <v>1</v>
      </c>
      <c r="G92" s="64" t="n">
        <f aca="false">WORKDAY(MAX(H90,H72),1+E92,$M$6:$M$11)</f>
        <v>46437</v>
      </c>
      <c r="H92" s="64" t="n">
        <f aca="false">WORKDAY(G92,F92-1,$M$6:$M$11)</f>
        <v>46437</v>
      </c>
      <c r="I92" s="136" t="n">
        <v>4</v>
      </c>
      <c r="J92" s="133" t="s">
        <v>164</v>
      </c>
      <c r="K92" s="62" t="s">
        <v>785</v>
      </c>
      <c r="P92" s="129" t="str">
        <f aca="false">IF(ISNUMBER($A92),INDEX('Scope Checklist'!$B:$B,$A92),"")</f>
        <v>Bath - Master</v>
      </c>
      <c r="Q92" s="129" t="str">
        <f aca="false">IF(ISNUMBER($A92),INDEX('Scope Checklist'!$E:$E,$A92),"")</f>
        <v>Pending</v>
      </c>
      <c r="R92" s="129" t="n">
        <f aca="false">IF(AND(ISNUMBER($A92),ISNUMBER($I92),ISNUMBER($H92)),$I92,0)</f>
        <v>4</v>
      </c>
      <c r="S92" s="130" t="n">
        <f aca="false">IF(ISNUMBER($G92),$G92,0)</f>
        <v>46437</v>
      </c>
      <c r="T92" s="130" t="n">
        <f aca="false">IF(ISNUMBER($H92),$H92,S92)</f>
        <v>46437</v>
      </c>
      <c r="U92" s="131" t="n">
        <f aca="false">IF(ISNUMBER($A92),IF(Q92="Complete",1,N(INDEX('Scope Checklist'!$I:$I,$A92))),0)</f>
        <v>0</v>
      </c>
      <c r="V92" s="131" t="n">
        <f aca="false">IF(OR(NOT(ISNUMBER($A92)),S92=0),0,IF(Dashboard!$C$4&lt;S92,0,IF(Dashboard!$C$4&gt;=T92,1,NETWORKDAYS(S92,Dashboard!$C$4,$M$6:$M$11)/NETWORKDAYS(S92,T92,$M$6:$M$11))))</f>
        <v>0</v>
      </c>
      <c r="W92" s="129" t="n">
        <f aca="false">R92*U92</f>
        <v>0</v>
      </c>
      <c r="X92" s="129" t="n">
        <f aca="false">R92*V92</f>
        <v>0</v>
      </c>
      <c r="Y92" s="132" t="b">
        <f aca="false">AND(ISNUMBER($A92),ISNUMBER($I92),T92&gt;0,T92&lt;Dashboard!$C$4,U92&lt;1)</f>
        <v>0</v>
      </c>
      <c r="Z92" s="129" t="str">
        <f aca="false">IF(Y92,COUNTIF(Y$6:Y92,TRUE()),"")</f>
        <v/>
      </c>
      <c r="AA92" s="132" t="b">
        <f aca="false">AND(ISNUMBER($A92),ISNUMBER($I92),U92&lt;1,NOT(Y92),S92&gt;0,S92&lt;=WORKDAY(Dashboard!$C$4,10,$M$6:$M$11),T92&gt;=Dashboard!$C$4)</f>
        <v>0</v>
      </c>
      <c r="AB92" s="129" t="str">
        <f aca="false">IF(AA92,COUNTIF(AA$6:AA92,TRUE()),"")</f>
        <v/>
      </c>
    </row>
    <row r="93" customFormat="false" ht="23.85" hidden="false" customHeight="false" outlineLevel="0" collapsed="false">
      <c r="A93" s="133" t="n">
        <v>99</v>
      </c>
      <c r="B93" s="134" t="n">
        <f aca="false">IF('Scope Checklist'!A99="","-",'Scope Checklist'!A99)</f>
        <v>89</v>
      </c>
      <c r="C93" s="135" t="str">
        <f aca="false">'Scope Checklist'!D99</f>
        <v>Vanity stone top - select (~11 sq ft)</v>
      </c>
      <c r="D93" s="62" t="s">
        <v>786</v>
      </c>
      <c r="E93" s="136" t="n">
        <v>0</v>
      </c>
      <c r="F93" s="136" t="n">
        <v>8</v>
      </c>
      <c r="G93" s="64" t="n">
        <f aca="false">WORKDAY(H92,1+E93,$M$6:$M$11)</f>
        <v>46440</v>
      </c>
      <c r="H93" s="64" t="n">
        <f aca="false">WORKDAY(G93,F93-1,$M$6:$M$11)</f>
        <v>46449</v>
      </c>
      <c r="I93" s="136" t="n">
        <v>6</v>
      </c>
      <c r="J93" s="133" t="s">
        <v>299</v>
      </c>
      <c r="K93" s="62" t="s">
        <v>787</v>
      </c>
      <c r="P93" s="129" t="str">
        <f aca="false">IF(ISNUMBER($A93),INDEX('Scope Checklist'!$B:$B,$A93),"")</f>
        <v>Bath - Master</v>
      </c>
      <c r="Q93" s="129" t="str">
        <f aca="false">IF(ISNUMBER($A93),INDEX('Scope Checklist'!$E:$E,$A93),"")</f>
        <v>Pending</v>
      </c>
      <c r="R93" s="129" t="n">
        <f aca="false">IF(AND(ISNUMBER($A93),ISNUMBER($I93),ISNUMBER($H93)),$I93,0)</f>
        <v>6</v>
      </c>
      <c r="S93" s="130" t="n">
        <f aca="false">IF(ISNUMBER($G93),$G93,0)</f>
        <v>46440</v>
      </c>
      <c r="T93" s="130" t="n">
        <f aca="false">IF(ISNUMBER($H93),$H93,S93)</f>
        <v>46449</v>
      </c>
      <c r="U93" s="131" t="n">
        <f aca="false">IF(ISNUMBER($A93),IF(Q93="Complete",1,N(INDEX('Scope Checklist'!$I:$I,$A93))),0)</f>
        <v>0</v>
      </c>
      <c r="V93" s="131" t="n">
        <f aca="false">IF(OR(NOT(ISNUMBER($A93)),S93=0),0,IF(Dashboard!$C$4&lt;S93,0,IF(Dashboard!$C$4&gt;=T93,1,NETWORKDAYS(S93,Dashboard!$C$4,$M$6:$M$11)/NETWORKDAYS(S93,T93,$M$6:$M$11))))</f>
        <v>0</v>
      </c>
      <c r="W93" s="129" t="n">
        <f aca="false">R93*U93</f>
        <v>0</v>
      </c>
      <c r="X93" s="129" t="n">
        <f aca="false">R93*V93</f>
        <v>0</v>
      </c>
      <c r="Y93" s="132" t="b">
        <f aca="false">AND(ISNUMBER($A93),ISNUMBER($I93),T93&gt;0,T93&lt;Dashboard!$C$4,U93&lt;1)</f>
        <v>0</v>
      </c>
      <c r="Z93" s="129" t="str">
        <f aca="false">IF(Y93,COUNTIF(Y$6:Y93,TRUE()),"")</f>
        <v/>
      </c>
      <c r="AA93" s="132" t="b">
        <f aca="false">AND(ISNUMBER($A93),ISNUMBER($I93),U93&lt;1,NOT(Y93),S93&gt;0,S93&lt;=WORKDAY(Dashboard!$C$4,10,$M$6:$M$11),T93&gt;=Dashboard!$C$4)</f>
        <v>0</v>
      </c>
      <c r="AB93" s="129" t="str">
        <f aca="false">IF(AA93,COUNTIF(AA$6:AA93,TRUE()),"")</f>
        <v/>
      </c>
    </row>
    <row r="94" customFormat="false" ht="15" hidden="false" customHeight="false" outlineLevel="0" collapsed="false">
      <c r="A94" s="133" t="n">
        <v>100</v>
      </c>
      <c r="B94" s="134" t="n">
        <f aca="false">IF('Scope Checklist'!A100="","-",'Scope Checklist'!A100)</f>
        <v>100</v>
      </c>
      <c r="C94" s="135" t="str">
        <f aca="false">'Scope Checklist'!D100</f>
        <v>Threshold + bench top</v>
      </c>
      <c r="D94" s="62" t="s">
        <v>788</v>
      </c>
      <c r="E94" s="136" t="n">
        <v>0</v>
      </c>
      <c r="F94" s="136" t="n">
        <v>8</v>
      </c>
      <c r="G94" s="64" t="n">
        <f aca="false">WORKDAY(G93,E94,$M$6:$M$11)</f>
        <v>46440</v>
      </c>
      <c r="H94" s="64" t="n">
        <f aca="false">WORKDAY(G94,F94-1,$M$6:$M$11)</f>
        <v>46449</v>
      </c>
      <c r="I94" s="136" t="n">
        <v>4</v>
      </c>
      <c r="J94" s="133" t="s">
        <v>354</v>
      </c>
      <c r="K94" s="62" t="s">
        <v>355</v>
      </c>
      <c r="P94" s="129" t="str">
        <f aca="false">IF(ISNUMBER($A94),INDEX('Scope Checklist'!$B:$B,$A94),"")</f>
        <v>Bath - Master</v>
      </c>
      <c r="Q94" s="129" t="str">
        <f aca="false">IF(ISNUMBER($A94),INDEX('Scope Checklist'!$E:$E,$A94),"")</f>
        <v>Pending</v>
      </c>
      <c r="R94" s="129" t="n">
        <f aca="false">IF(AND(ISNUMBER($A94),ISNUMBER($I94),ISNUMBER($H94)),$I94,0)</f>
        <v>4</v>
      </c>
      <c r="S94" s="130" t="n">
        <f aca="false">IF(ISNUMBER($G94),$G94,0)</f>
        <v>46440</v>
      </c>
      <c r="T94" s="130" t="n">
        <f aca="false">IF(ISNUMBER($H94),$H94,S94)</f>
        <v>46449</v>
      </c>
      <c r="U94" s="131" t="n">
        <f aca="false">IF(ISNUMBER($A94),IF(Q94="Complete",1,N(INDEX('Scope Checklist'!$I:$I,$A94))),0)</f>
        <v>0</v>
      </c>
      <c r="V94" s="131" t="n">
        <f aca="false">IF(OR(NOT(ISNUMBER($A94)),S94=0),0,IF(Dashboard!$C$4&lt;S94,0,IF(Dashboard!$C$4&gt;=T94,1,NETWORKDAYS(S94,Dashboard!$C$4,$M$6:$M$11)/NETWORKDAYS(S94,T94,$M$6:$M$11))))</f>
        <v>0</v>
      </c>
      <c r="W94" s="129" t="n">
        <f aca="false">R94*U94</f>
        <v>0</v>
      </c>
      <c r="X94" s="129" t="n">
        <f aca="false">R94*V94</f>
        <v>0</v>
      </c>
      <c r="Y94" s="132" t="b">
        <f aca="false">AND(ISNUMBER($A94),ISNUMBER($I94),T94&gt;0,T94&lt;Dashboard!$C$4,U94&lt;1)</f>
        <v>0</v>
      </c>
      <c r="Z94" s="129" t="str">
        <f aca="false">IF(Y94,COUNTIF(Y$6:Y94,TRUE()),"")</f>
        <v/>
      </c>
      <c r="AA94" s="132" t="b">
        <f aca="false">AND(ISNUMBER($A94),ISNUMBER($I94),U94&lt;1,NOT(Y94),S94&gt;0,S94&lt;=WORKDAY(Dashboard!$C$4,10,$M$6:$M$11),T94&gt;=Dashboard!$C$4)</f>
        <v>0</v>
      </c>
      <c r="AB94" s="129" t="str">
        <f aca="false">IF(AA94,COUNTIF(AA$6:AA94,TRUE()),"")</f>
        <v/>
      </c>
    </row>
    <row r="95" customFormat="false" ht="23.85" hidden="false" customHeight="false" outlineLevel="0" collapsed="false">
      <c r="A95" s="133" t="n">
        <v>101</v>
      </c>
      <c r="B95" s="134" t="n">
        <f aca="false">IF('Scope Checklist'!A101="","-",'Scope Checklist'!A101)</f>
        <v>101</v>
      </c>
      <c r="C95" s="135" t="str">
        <f aca="false">'Scope Checklist'!D101</f>
        <v>Glass shower enclosure - MASTER</v>
      </c>
      <c r="D95" s="62" t="s">
        <v>789</v>
      </c>
      <c r="E95" s="136" t="n">
        <v>0</v>
      </c>
      <c r="F95" s="136" t="n">
        <v>7</v>
      </c>
      <c r="G95" s="64" t="n">
        <f aca="false">WORKDAY(H94,1+E95,$M$6:$M$11)</f>
        <v>46450</v>
      </c>
      <c r="H95" s="64" t="n">
        <f aca="false">WORKDAY(G95,F95-1,$M$6:$M$11)</f>
        <v>46458</v>
      </c>
      <c r="I95" s="136" t="n">
        <v>6</v>
      </c>
      <c r="J95" s="133" t="s">
        <v>358</v>
      </c>
      <c r="K95" s="62" t="s">
        <v>790</v>
      </c>
      <c r="P95" s="129" t="str">
        <f aca="false">IF(ISNUMBER($A95),INDEX('Scope Checklist'!$B:$B,$A95),"")</f>
        <v>Bath - Master</v>
      </c>
      <c r="Q95" s="129" t="str">
        <f aca="false">IF(ISNUMBER($A95),INDEX('Scope Checklist'!$E:$E,$A95),"")</f>
        <v>Pending</v>
      </c>
      <c r="R95" s="129" t="n">
        <f aca="false">IF(AND(ISNUMBER($A95),ISNUMBER($I95),ISNUMBER($H95)),$I95,0)</f>
        <v>6</v>
      </c>
      <c r="S95" s="130" t="n">
        <f aca="false">IF(ISNUMBER($G95),$G95,0)</f>
        <v>46450</v>
      </c>
      <c r="T95" s="130" t="n">
        <f aca="false">IF(ISNUMBER($H95),$H95,S95)</f>
        <v>46458</v>
      </c>
      <c r="U95" s="131" t="n">
        <f aca="false">IF(ISNUMBER($A95),IF(Q95="Complete",1,N(INDEX('Scope Checklist'!$I:$I,$A95))),0)</f>
        <v>0</v>
      </c>
      <c r="V95" s="131" t="n">
        <f aca="false">IF(OR(NOT(ISNUMBER($A95)),S95=0),0,IF(Dashboard!$C$4&lt;S95,0,IF(Dashboard!$C$4&gt;=T95,1,NETWORKDAYS(S95,Dashboard!$C$4,$M$6:$M$11)/NETWORKDAYS(S95,T95,$M$6:$M$11))))</f>
        <v>0</v>
      </c>
      <c r="W95" s="129" t="n">
        <f aca="false">R95*U95</f>
        <v>0</v>
      </c>
      <c r="X95" s="129" t="n">
        <f aca="false">R95*V95</f>
        <v>0</v>
      </c>
      <c r="Y95" s="132" t="b">
        <f aca="false">AND(ISNUMBER($A95),ISNUMBER($I95),T95&gt;0,T95&lt;Dashboard!$C$4,U95&lt;1)</f>
        <v>0</v>
      </c>
      <c r="Z95" s="129" t="str">
        <f aca="false">IF(Y95,COUNTIF(Y$6:Y95,TRUE()),"")</f>
        <v/>
      </c>
      <c r="AA95" s="132" t="b">
        <f aca="false">AND(ISNUMBER($A95),ISNUMBER($I95),U95&lt;1,NOT(Y95),S95&gt;0,S95&lt;=WORKDAY(Dashboard!$C$4,10,$M$6:$M$11),T95&gt;=Dashboard!$C$4)</f>
        <v>0</v>
      </c>
      <c r="AB95" s="129" t="str">
        <f aca="false">IF(AA95,COUNTIF(AA$6:AA95,TRUE()),"")</f>
        <v/>
      </c>
    </row>
    <row r="96" customFormat="false" ht="15" hidden="false" customHeight="false" outlineLevel="0" collapsed="false">
      <c r="A96" s="133" t="n">
        <v>102</v>
      </c>
      <c r="B96" s="134" t="n">
        <f aca="false">IF('Scope Checklist'!A102="","-",'Scope Checklist'!A102)</f>
        <v>90</v>
      </c>
      <c r="C96" s="135" t="str">
        <f aca="false">'Scope Checklist'!D102</f>
        <v>Double faucets + double sinks - install</v>
      </c>
      <c r="D96" s="62" t="s">
        <v>791</v>
      </c>
      <c r="E96" s="136" t="n">
        <v>0</v>
      </c>
      <c r="F96" s="136" t="n">
        <v>1</v>
      </c>
      <c r="G96" s="64" t="n">
        <f aca="false">WORKDAY(H93,1+E96,$M$6:$M$11)</f>
        <v>46450</v>
      </c>
      <c r="H96" s="64" t="n">
        <f aca="false">WORKDAY(G96,F96-1,$M$6:$M$11)</f>
        <v>46450</v>
      </c>
      <c r="I96" s="136" t="n">
        <v>6</v>
      </c>
      <c r="J96" s="133" t="s">
        <v>184</v>
      </c>
      <c r="K96" s="62" t="s">
        <v>792</v>
      </c>
      <c r="P96" s="129" t="str">
        <f aca="false">IF(ISNUMBER($A96),INDEX('Scope Checklist'!$B:$B,$A96),"")</f>
        <v>Bath - Master</v>
      </c>
      <c r="Q96" s="129" t="str">
        <f aca="false">IF(ISNUMBER($A96),INDEX('Scope Checklist'!$E:$E,$A96),"")</f>
        <v>Pending</v>
      </c>
      <c r="R96" s="129" t="n">
        <f aca="false">IF(AND(ISNUMBER($A96),ISNUMBER($I96),ISNUMBER($H96)),$I96,0)</f>
        <v>6</v>
      </c>
      <c r="S96" s="130" t="n">
        <f aca="false">IF(ISNUMBER($G96),$G96,0)</f>
        <v>46450</v>
      </c>
      <c r="T96" s="130" t="n">
        <f aca="false">IF(ISNUMBER($H96),$H96,S96)</f>
        <v>46450</v>
      </c>
      <c r="U96" s="131" t="n">
        <f aca="false">IF(ISNUMBER($A96),IF(Q96="Complete",1,N(INDEX('Scope Checklist'!$I:$I,$A96))),0)</f>
        <v>0</v>
      </c>
      <c r="V96" s="131" t="n">
        <f aca="false">IF(OR(NOT(ISNUMBER($A96)),S96=0),0,IF(Dashboard!$C$4&lt;S96,0,IF(Dashboard!$C$4&gt;=T96,1,NETWORKDAYS(S96,Dashboard!$C$4,$M$6:$M$11)/NETWORKDAYS(S96,T96,$M$6:$M$11))))</f>
        <v>0</v>
      </c>
      <c r="W96" s="129" t="n">
        <f aca="false">R96*U96</f>
        <v>0</v>
      </c>
      <c r="X96" s="129" t="n">
        <f aca="false">R96*V96</f>
        <v>0</v>
      </c>
      <c r="Y96" s="132" t="b">
        <f aca="false">AND(ISNUMBER($A96),ISNUMBER($I96),T96&gt;0,T96&lt;Dashboard!$C$4,U96&lt;1)</f>
        <v>0</v>
      </c>
      <c r="Z96" s="129" t="str">
        <f aca="false">IF(Y96,COUNTIF(Y$6:Y96,TRUE()),"")</f>
        <v/>
      </c>
      <c r="AA96" s="132" t="b">
        <f aca="false">AND(ISNUMBER($A96),ISNUMBER($I96),U96&lt;1,NOT(Y96),S96&gt;0,S96&lt;=WORKDAY(Dashboard!$C$4,10,$M$6:$M$11),T96&gt;=Dashboard!$C$4)</f>
        <v>0</v>
      </c>
      <c r="AB96" s="129" t="str">
        <f aca="false">IF(AA96,COUNTIF(AA$6:AA96,TRUE()),"")</f>
        <v/>
      </c>
    </row>
    <row r="97" customFormat="false" ht="15" hidden="false" customHeight="false" outlineLevel="0" collapsed="false">
      <c r="A97" s="133" t="n">
        <v>103</v>
      </c>
      <c r="B97" s="134" t="n">
        <f aca="false">IF('Scope Checklist'!A103="","-",'Scope Checklist'!A103)</f>
        <v>91</v>
      </c>
      <c r="C97" s="135" t="str">
        <f aca="false">'Scope Checklist'!D103</f>
        <v>Toilet install + new wax ring</v>
      </c>
      <c r="D97" s="62" t="s">
        <v>793</v>
      </c>
      <c r="E97" s="136" t="n">
        <v>0</v>
      </c>
      <c r="F97" s="136" t="n">
        <v>1</v>
      </c>
      <c r="G97" s="64" t="n">
        <f aca="false">WORKDAY(H90,1+E97,$M$6:$M$11)</f>
        <v>46437</v>
      </c>
      <c r="H97" s="64" t="n">
        <f aca="false">WORKDAY(G97,F97-1,$M$6:$M$11)</f>
        <v>46437</v>
      </c>
      <c r="I97" s="136" t="n">
        <v>4</v>
      </c>
      <c r="J97" s="133" t="s">
        <v>184</v>
      </c>
      <c r="K97" s="62" t="s">
        <v>794</v>
      </c>
      <c r="P97" s="129" t="str">
        <f aca="false">IF(ISNUMBER($A97),INDEX('Scope Checklist'!$B:$B,$A97),"")</f>
        <v>Bath - Master</v>
      </c>
      <c r="Q97" s="129" t="str">
        <f aca="false">IF(ISNUMBER($A97),INDEX('Scope Checklist'!$E:$E,$A97),"")</f>
        <v>Pending</v>
      </c>
      <c r="R97" s="129" t="n">
        <f aca="false">IF(AND(ISNUMBER($A97),ISNUMBER($I97),ISNUMBER($H97)),$I97,0)</f>
        <v>4</v>
      </c>
      <c r="S97" s="130" t="n">
        <f aca="false">IF(ISNUMBER($G97),$G97,0)</f>
        <v>46437</v>
      </c>
      <c r="T97" s="130" t="n">
        <f aca="false">IF(ISNUMBER($H97),$H97,S97)</f>
        <v>46437</v>
      </c>
      <c r="U97" s="131" t="n">
        <f aca="false">IF(ISNUMBER($A97),IF(Q97="Complete",1,N(INDEX('Scope Checklist'!$I:$I,$A97))),0)</f>
        <v>0</v>
      </c>
      <c r="V97" s="131" t="n">
        <f aca="false">IF(OR(NOT(ISNUMBER($A97)),S97=0),0,IF(Dashboard!$C$4&lt;S97,0,IF(Dashboard!$C$4&gt;=T97,1,NETWORKDAYS(S97,Dashboard!$C$4,$M$6:$M$11)/NETWORKDAYS(S97,T97,$M$6:$M$11))))</f>
        <v>0</v>
      </c>
      <c r="W97" s="129" t="n">
        <f aca="false">R97*U97</f>
        <v>0</v>
      </c>
      <c r="X97" s="129" t="n">
        <f aca="false">R97*V97</f>
        <v>0</v>
      </c>
      <c r="Y97" s="132" t="b">
        <f aca="false">AND(ISNUMBER($A97),ISNUMBER($I97),T97&gt;0,T97&lt;Dashboard!$C$4,U97&lt;1)</f>
        <v>0</v>
      </c>
      <c r="Z97" s="129" t="str">
        <f aca="false">IF(Y97,COUNTIF(Y$6:Y97,TRUE()),"")</f>
        <v/>
      </c>
      <c r="AA97" s="132" t="b">
        <f aca="false">AND(ISNUMBER($A97),ISNUMBER($I97),U97&lt;1,NOT(Y97),S97&gt;0,S97&lt;=WORKDAY(Dashboard!$C$4,10,$M$6:$M$11),T97&gt;=Dashboard!$C$4)</f>
        <v>0</v>
      </c>
      <c r="AB97" s="129" t="str">
        <f aca="false">IF(AA97,COUNTIF(AA$6:AA97,TRUE()),"")</f>
        <v/>
      </c>
    </row>
    <row r="98" customFormat="false" ht="15" hidden="false" customHeight="false" outlineLevel="0" collapsed="false">
      <c r="A98" s="133" t="n">
        <v>104</v>
      </c>
      <c r="B98" s="134" t="n">
        <f aca="false">IF('Scope Checklist'!A104="","-",'Scope Checklist'!A104)</f>
        <v>104</v>
      </c>
      <c r="C98" s="135" t="str">
        <f aca="false">'Scope Checklist'!D104</f>
        <v>Bath hardware (towel bars, TP holder, etc.)</v>
      </c>
      <c r="D98" s="62" t="s">
        <v>713</v>
      </c>
      <c r="E98" s="136" t="n">
        <v>0</v>
      </c>
      <c r="F98" s="136" t="n">
        <v>1</v>
      </c>
      <c r="G98" s="64" t="n">
        <f aca="false">WORKDAY(H43,1+E98,$M$6:$M$11)</f>
        <v>46451</v>
      </c>
      <c r="H98" s="64" t="n">
        <f aca="false">WORKDAY(G98,F98-1,$M$6:$M$11)</f>
        <v>46451</v>
      </c>
      <c r="I98" s="136" t="n">
        <v>3</v>
      </c>
      <c r="J98" s="133" t="s">
        <v>369</v>
      </c>
      <c r="K98" s="62" t="s">
        <v>795</v>
      </c>
      <c r="P98" s="129" t="str">
        <f aca="false">IF(ISNUMBER($A98),INDEX('Scope Checklist'!$B:$B,$A98),"")</f>
        <v>Bath - Master</v>
      </c>
      <c r="Q98" s="129" t="str">
        <f aca="false">IF(ISNUMBER($A98),INDEX('Scope Checklist'!$E:$E,$A98),"")</f>
        <v>Pending</v>
      </c>
      <c r="R98" s="129" t="n">
        <f aca="false">IF(AND(ISNUMBER($A98),ISNUMBER($I98),ISNUMBER($H98)),$I98,0)</f>
        <v>3</v>
      </c>
      <c r="S98" s="130" t="n">
        <f aca="false">IF(ISNUMBER($G98),$G98,0)</f>
        <v>46451</v>
      </c>
      <c r="T98" s="130" t="n">
        <f aca="false">IF(ISNUMBER($H98),$H98,S98)</f>
        <v>46451</v>
      </c>
      <c r="U98" s="131" t="n">
        <f aca="false">IF(ISNUMBER($A98),IF(Q98="Complete",1,N(INDEX('Scope Checklist'!$I:$I,$A98))),0)</f>
        <v>0</v>
      </c>
      <c r="V98" s="131" t="n">
        <f aca="false">IF(OR(NOT(ISNUMBER($A98)),S98=0),0,IF(Dashboard!$C$4&lt;S98,0,IF(Dashboard!$C$4&gt;=T98,1,NETWORKDAYS(S98,Dashboard!$C$4,$M$6:$M$11)/NETWORKDAYS(S98,T98,$M$6:$M$11))))</f>
        <v>0</v>
      </c>
      <c r="W98" s="129" t="n">
        <f aca="false">R98*U98</f>
        <v>0</v>
      </c>
      <c r="X98" s="129" t="n">
        <f aca="false">R98*V98</f>
        <v>0</v>
      </c>
      <c r="Y98" s="132" t="b">
        <f aca="false">AND(ISNUMBER($A98),ISNUMBER($I98),T98&gt;0,T98&lt;Dashboard!$C$4,U98&lt;1)</f>
        <v>0</v>
      </c>
      <c r="Z98" s="129" t="str">
        <f aca="false">IF(Y98,COUNTIF(Y$6:Y98,TRUE()),"")</f>
        <v/>
      </c>
      <c r="AA98" s="132" t="b">
        <f aca="false">AND(ISNUMBER($A98),ISNUMBER($I98),U98&lt;1,NOT(Y98),S98&gt;0,S98&lt;=WORKDAY(Dashboard!$C$4,10,$M$6:$M$11),T98&gt;=Dashboard!$C$4)</f>
        <v>0</v>
      </c>
      <c r="AB98" s="129" t="str">
        <f aca="false">IF(AA98,COUNTIF(AA$6:AA98,TRUE()),"")</f>
        <v/>
      </c>
    </row>
    <row r="99" customFormat="false" ht="15" hidden="false" customHeight="false" outlineLevel="0" collapsed="false">
      <c r="A99" s="133" t="n">
        <v>105</v>
      </c>
      <c r="B99" s="134" t="n">
        <f aca="false">IF('Scope Checklist'!A105="","-",'Scope Checklist'!A105)</f>
        <v>105</v>
      </c>
      <c r="C99" s="135" t="str">
        <f aca="false">'Scope Checklist'!D105</f>
        <v>Exhaust fan</v>
      </c>
      <c r="D99" s="62" t="s">
        <v>796</v>
      </c>
      <c r="E99" s="136" t="n">
        <v>0</v>
      </c>
      <c r="F99" s="136" t="n">
        <v>1</v>
      </c>
      <c r="G99" s="64" t="n">
        <f aca="false">WORKDAY(G48,E99,$M$6:$M$11)</f>
        <v>46451</v>
      </c>
      <c r="H99" s="64" t="n">
        <f aca="false">WORKDAY(G99,F99-1,$M$6:$M$11)</f>
        <v>46451</v>
      </c>
      <c r="I99" s="136" t="n">
        <v>3</v>
      </c>
      <c r="J99" s="133" t="s">
        <v>184</v>
      </c>
      <c r="K99" s="62" t="s">
        <v>797</v>
      </c>
      <c r="P99" s="129" t="str">
        <f aca="false">IF(ISNUMBER($A99),INDEX('Scope Checklist'!$B:$B,$A99),"")</f>
        <v>Bath - Master</v>
      </c>
      <c r="Q99" s="129" t="str">
        <f aca="false">IF(ISNUMBER($A99),INDEX('Scope Checklist'!$E:$E,$A99),"")</f>
        <v>Pending</v>
      </c>
      <c r="R99" s="129" t="n">
        <f aca="false">IF(AND(ISNUMBER($A99),ISNUMBER($I99),ISNUMBER($H99)),$I99,0)</f>
        <v>3</v>
      </c>
      <c r="S99" s="130" t="n">
        <f aca="false">IF(ISNUMBER($G99),$G99,0)</f>
        <v>46451</v>
      </c>
      <c r="T99" s="130" t="n">
        <f aca="false">IF(ISNUMBER($H99),$H99,S99)</f>
        <v>46451</v>
      </c>
      <c r="U99" s="131" t="n">
        <f aca="false">IF(ISNUMBER($A99),IF(Q99="Complete",1,N(INDEX('Scope Checklist'!$I:$I,$A99))),0)</f>
        <v>0</v>
      </c>
      <c r="V99" s="131" t="n">
        <f aca="false">IF(OR(NOT(ISNUMBER($A99)),S99=0),0,IF(Dashboard!$C$4&lt;S99,0,IF(Dashboard!$C$4&gt;=T99,1,NETWORKDAYS(S99,Dashboard!$C$4,$M$6:$M$11)/NETWORKDAYS(S99,T99,$M$6:$M$11))))</f>
        <v>0</v>
      </c>
      <c r="W99" s="129" t="n">
        <f aca="false">R99*U99</f>
        <v>0</v>
      </c>
      <c r="X99" s="129" t="n">
        <f aca="false">R99*V99</f>
        <v>0</v>
      </c>
      <c r="Y99" s="132" t="b">
        <f aca="false">AND(ISNUMBER($A99),ISNUMBER($I99),T99&gt;0,T99&lt;Dashboard!$C$4,U99&lt;1)</f>
        <v>0</v>
      </c>
      <c r="Z99" s="129" t="str">
        <f aca="false">IF(Y99,COUNTIF(Y$6:Y99,TRUE()),"")</f>
        <v/>
      </c>
      <c r="AA99" s="132" t="b">
        <f aca="false">AND(ISNUMBER($A99),ISNUMBER($I99),U99&lt;1,NOT(Y99),S99&gt;0,S99&lt;=WORKDAY(Dashboard!$C$4,10,$M$6:$M$11),T99&gt;=Dashboard!$C$4)</f>
        <v>0</v>
      </c>
      <c r="AB99" s="129" t="str">
        <f aca="false">IF(AA99,COUNTIF(AA$6:AA99,TRUE()),"")</f>
        <v/>
      </c>
    </row>
    <row r="100" customFormat="false" ht="15" hidden="false" customHeight="false" outlineLevel="0" collapsed="false">
      <c r="A100" s="59" t="s">
        <v>374</v>
      </c>
      <c r="B100" s="127"/>
      <c r="C100" s="127"/>
      <c r="D100" s="127"/>
      <c r="E100" s="127"/>
      <c r="F100" s="127"/>
      <c r="G100" s="127"/>
      <c r="H100" s="127"/>
      <c r="I100" s="127"/>
      <c r="J100" s="127"/>
      <c r="K100" s="127"/>
      <c r="P100" s="129" t="str">
        <f aca="false">IF(ISNUMBER($A100),INDEX('Scope Checklist'!$B:$B,$A100),"")</f>
        <v/>
      </c>
      <c r="Q100" s="129" t="str">
        <f aca="false">IF(ISNUMBER($A100),INDEX('Scope Checklist'!$E:$E,$A100),"")</f>
        <v/>
      </c>
      <c r="R100" s="129" t="n">
        <f aca="false">IF(AND(ISNUMBER($A100),ISNUMBER($I100),ISNUMBER($H100)),$I100,0)</f>
        <v>0</v>
      </c>
      <c r="S100" s="130" t="n">
        <f aca="false">IF(ISNUMBER($G100),$G100,0)</f>
        <v>0</v>
      </c>
      <c r="T100" s="130" t="n">
        <f aca="false">IF(ISNUMBER($H100),$H100,S100)</f>
        <v>0</v>
      </c>
      <c r="U100" s="131" t="n">
        <f aca="false">IF(ISNUMBER($A100),IF(Q100="Complete",1,N(INDEX('Scope Checklist'!$I:$I,$A100))),0)</f>
        <v>0</v>
      </c>
      <c r="V100" s="131" t="n">
        <f aca="false">IF(OR(NOT(ISNUMBER($A100)),S100=0),0,IF(Dashboard!$C$4&lt;S100,0,IF(Dashboard!$C$4&gt;=T100,1,NETWORKDAYS(S100,Dashboard!$C$4,$M$6:$M$11)/NETWORKDAYS(S100,T100,$M$6:$M$11))))</f>
        <v>0</v>
      </c>
      <c r="W100" s="129" t="n">
        <f aca="false">R100*U100</f>
        <v>0</v>
      </c>
      <c r="X100" s="129" t="n">
        <f aca="false">R100*V100</f>
        <v>0</v>
      </c>
      <c r="Y100" s="132" t="b">
        <f aca="false">AND(ISNUMBER($A100),ISNUMBER($I100),T100&gt;0,T100&lt;Dashboard!$C$4,U100&lt;1)</f>
        <v>0</v>
      </c>
      <c r="Z100" s="129" t="str">
        <f aca="false">IF(Y100,COUNTIF(Y$6:Y100,TRUE()),"")</f>
        <v/>
      </c>
      <c r="AA100" s="132" t="b">
        <f aca="false">AND(ISNUMBER($A100),ISNUMBER($I100),U100&lt;1,NOT(Y100),S100&gt;0,S100&lt;=WORKDAY(Dashboard!$C$4,10,$M$6:$M$11),T100&gt;=Dashboard!$C$4)</f>
        <v>0</v>
      </c>
      <c r="AB100" s="129" t="str">
        <f aca="false">IF(AA100,COUNTIF(AA$6:AA100,TRUE()),"")</f>
        <v/>
      </c>
    </row>
    <row r="101" customFormat="false" ht="15" hidden="false" customHeight="false" outlineLevel="0" collapsed="false">
      <c r="A101" s="133" t="n">
        <v>108</v>
      </c>
      <c r="B101" s="134" t="n">
        <f aca="false">IF('Scope Checklist'!A108="","-",'Scope Checklist'!A108)</f>
        <v>107</v>
      </c>
      <c r="C101" s="135" t="str">
        <f aca="false">'Scope Checklist'!D108</f>
        <v>Sink selection - single sink</v>
      </c>
      <c r="D101" s="62" t="s">
        <v>764</v>
      </c>
      <c r="E101" s="136" t="n">
        <v>5</v>
      </c>
      <c r="F101" s="136" t="n">
        <v>5</v>
      </c>
      <c r="G101" s="64" t="n">
        <f aca="false">WORKDAY(G71,E101,$M$6:$M$11)</f>
        <v>46387</v>
      </c>
      <c r="H101" s="64" t="n">
        <f aca="false">WORKDAY(G101,F101-1,$M$6:$M$11)</f>
        <v>46394</v>
      </c>
      <c r="I101" s="136" t="n">
        <v>1</v>
      </c>
      <c r="J101" s="133" t="s">
        <v>146</v>
      </c>
      <c r="K101" s="62" t="s">
        <v>765</v>
      </c>
      <c r="P101" s="129" t="str">
        <f aca="false">IF(ISNUMBER($A101),INDEX('Scope Checklist'!$B:$B,$A101),"")</f>
        <v>Bath - Secondary</v>
      </c>
      <c r="Q101" s="129" t="str">
        <f aca="false">IF(ISNUMBER($A101),INDEX('Scope Checklist'!$E:$E,$A101),"")</f>
        <v>Pending</v>
      </c>
      <c r="R101" s="129" t="n">
        <f aca="false">IF(AND(ISNUMBER($A101),ISNUMBER($I101),ISNUMBER($H101)),$I101,0)</f>
        <v>1</v>
      </c>
      <c r="S101" s="130" t="n">
        <f aca="false">IF(ISNUMBER($G101),$G101,0)</f>
        <v>46387</v>
      </c>
      <c r="T101" s="130" t="n">
        <f aca="false">IF(ISNUMBER($H101),$H101,S101)</f>
        <v>46394</v>
      </c>
      <c r="U101" s="131" t="n">
        <f aca="false">IF(ISNUMBER($A101),IF(Q101="Complete",1,N(INDEX('Scope Checklist'!$I:$I,$A101))),0)</f>
        <v>0</v>
      </c>
      <c r="V101" s="131" t="n">
        <f aca="false">IF(OR(NOT(ISNUMBER($A101)),S101=0),0,IF(Dashboard!$C$4&lt;S101,0,IF(Dashboard!$C$4&gt;=T101,1,NETWORKDAYS(S101,Dashboard!$C$4,$M$6:$M$11)/NETWORKDAYS(S101,T101,$M$6:$M$11))))</f>
        <v>0</v>
      </c>
      <c r="W101" s="129" t="n">
        <f aca="false">R101*U101</f>
        <v>0</v>
      </c>
      <c r="X101" s="129" t="n">
        <f aca="false">R101*V101</f>
        <v>0</v>
      </c>
      <c r="Y101" s="132" t="b">
        <f aca="false">AND(ISNUMBER($A101),ISNUMBER($I101),T101&gt;0,T101&lt;Dashboard!$C$4,U101&lt;1)</f>
        <v>0</v>
      </c>
      <c r="Z101" s="129" t="str">
        <f aca="false">IF(Y101,COUNTIF(Y$6:Y101,TRUE()),"")</f>
        <v/>
      </c>
      <c r="AA101" s="132" t="b">
        <f aca="false">AND(ISNUMBER($A101),ISNUMBER($I101),U101&lt;1,NOT(Y101),S101&gt;0,S101&lt;=WORKDAY(Dashboard!$C$4,10,$M$6:$M$11),T101&gt;=Dashboard!$C$4)</f>
        <v>0</v>
      </c>
      <c r="AB101" s="129" t="str">
        <f aca="false">IF(AA101,COUNTIF(AA$6:AA101,TRUE()),"")</f>
        <v/>
      </c>
    </row>
    <row r="102" customFormat="false" ht="23.85" hidden="false" customHeight="false" outlineLevel="0" collapsed="false">
      <c r="A102" s="133" t="n">
        <v>109</v>
      </c>
      <c r="B102" s="134" t="n">
        <f aca="false">IF('Scope Checklist'!A109="","-",'Scope Checklist'!A109)</f>
        <v>113</v>
      </c>
      <c r="C102" s="135" t="str">
        <f aca="false">'Scope Checklist'!D109</f>
        <v>Pan liner install + inspection pass</v>
      </c>
      <c r="D102" s="62" t="s">
        <v>798</v>
      </c>
      <c r="E102" s="136" t="n">
        <v>0</v>
      </c>
      <c r="F102" s="136" t="n">
        <v>3</v>
      </c>
      <c r="G102" s="64" t="n">
        <f aca="false">WORKDAY(G84,E102,$M$6:$M$11)</f>
        <v>46409</v>
      </c>
      <c r="H102" s="64" t="n">
        <f aca="false">WORKDAY(G102,F102-1,$M$6:$M$11)</f>
        <v>46413</v>
      </c>
      <c r="I102" s="136" t="n">
        <v>16</v>
      </c>
      <c r="J102" s="133" t="s">
        <v>184</v>
      </c>
      <c r="K102" s="62" t="s">
        <v>799</v>
      </c>
      <c r="P102" s="129" t="str">
        <f aca="false">IF(ISNUMBER($A102),INDEX('Scope Checklist'!$B:$B,$A102),"")</f>
        <v>Bath - Secondary</v>
      </c>
      <c r="Q102" s="129" t="str">
        <f aca="false">IF(ISNUMBER($A102),INDEX('Scope Checklist'!$E:$E,$A102),"")</f>
        <v>Pending</v>
      </c>
      <c r="R102" s="129" t="n">
        <f aca="false">IF(AND(ISNUMBER($A102),ISNUMBER($I102),ISNUMBER($H102)),$I102,0)</f>
        <v>16</v>
      </c>
      <c r="S102" s="130" t="n">
        <f aca="false">IF(ISNUMBER($G102),$G102,0)</f>
        <v>46409</v>
      </c>
      <c r="T102" s="130" t="n">
        <f aca="false">IF(ISNUMBER($H102),$H102,S102)</f>
        <v>46413</v>
      </c>
      <c r="U102" s="131" t="n">
        <f aca="false">IF(ISNUMBER($A102),IF(Q102="Complete",1,N(INDEX('Scope Checklist'!$I:$I,$A102))),0)</f>
        <v>0</v>
      </c>
      <c r="V102" s="131" t="n">
        <f aca="false">IF(OR(NOT(ISNUMBER($A102)),S102=0),0,IF(Dashboard!$C$4&lt;S102,0,IF(Dashboard!$C$4&gt;=T102,1,NETWORKDAYS(S102,Dashboard!$C$4,$M$6:$M$11)/NETWORKDAYS(S102,T102,$M$6:$M$11))))</f>
        <v>0</v>
      </c>
      <c r="W102" s="129" t="n">
        <f aca="false">R102*U102</f>
        <v>0</v>
      </c>
      <c r="X102" s="129" t="n">
        <f aca="false">R102*V102</f>
        <v>0</v>
      </c>
      <c r="Y102" s="132" t="b">
        <f aca="false">AND(ISNUMBER($A102),ISNUMBER($I102),T102&gt;0,T102&lt;Dashboard!$C$4,U102&lt;1)</f>
        <v>0</v>
      </c>
      <c r="Z102" s="129" t="str">
        <f aca="false">IF(Y102,COUNTIF(Y$6:Y102,TRUE()),"")</f>
        <v/>
      </c>
      <c r="AA102" s="132" t="b">
        <f aca="false">AND(ISNUMBER($A102),ISNUMBER($I102),U102&lt;1,NOT(Y102),S102&gt;0,S102&lt;=WORKDAY(Dashboard!$C$4,10,$M$6:$M$11),T102&gt;=Dashboard!$C$4)</f>
        <v>0</v>
      </c>
      <c r="AB102" s="129" t="str">
        <f aca="false">IF(AA102,COUNTIF(AA$6:AA102,TRUE()),"")</f>
        <v/>
      </c>
    </row>
    <row r="103" customFormat="false" ht="15" hidden="false" customHeight="false" outlineLevel="0" collapsed="false">
      <c r="A103" s="133" t="n">
        <v>110</v>
      </c>
      <c r="B103" s="134" t="n">
        <f aca="false">IF('Scope Checklist'!A110="","-",'Scope Checklist'!A110)</f>
        <v>112</v>
      </c>
      <c r="C103" s="135" t="str">
        <f aca="false">'Scope Checklist'!D110</f>
        <v>Durock + waterproofing install</v>
      </c>
      <c r="D103" s="62" t="s">
        <v>800</v>
      </c>
      <c r="E103" s="136" t="n">
        <v>0</v>
      </c>
      <c r="F103" s="136" t="n">
        <v>4</v>
      </c>
      <c r="G103" s="64" t="n">
        <f aca="false">WORKDAY(G85,E103,$M$6:$M$11)</f>
        <v>46414</v>
      </c>
      <c r="H103" s="64" t="n">
        <f aca="false">WORKDAY(G103,F103-1,$M$6:$M$11)</f>
        <v>46419</v>
      </c>
      <c r="I103" s="136" t="n">
        <v>24</v>
      </c>
      <c r="J103" s="133" t="s">
        <v>184</v>
      </c>
      <c r="K103" s="62" t="s">
        <v>801</v>
      </c>
      <c r="P103" s="129" t="str">
        <f aca="false">IF(ISNUMBER($A103),INDEX('Scope Checklist'!$B:$B,$A103),"")</f>
        <v>Bath - Secondary</v>
      </c>
      <c r="Q103" s="129" t="str">
        <f aca="false">IF(ISNUMBER($A103),INDEX('Scope Checklist'!$E:$E,$A103),"")</f>
        <v>Pending</v>
      </c>
      <c r="R103" s="129" t="n">
        <f aca="false">IF(AND(ISNUMBER($A103),ISNUMBER($I103),ISNUMBER($H103)),$I103,0)</f>
        <v>24</v>
      </c>
      <c r="S103" s="130" t="n">
        <f aca="false">IF(ISNUMBER($G103),$G103,0)</f>
        <v>46414</v>
      </c>
      <c r="T103" s="130" t="n">
        <f aca="false">IF(ISNUMBER($H103),$H103,S103)</f>
        <v>46419</v>
      </c>
      <c r="U103" s="131" t="n">
        <f aca="false">IF(ISNUMBER($A103),IF(Q103="Complete",1,N(INDEX('Scope Checklist'!$I:$I,$A103))),0)</f>
        <v>0</v>
      </c>
      <c r="V103" s="131" t="n">
        <f aca="false">IF(OR(NOT(ISNUMBER($A103)),S103=0),0,IF(Dashboard!$C$4&lt;S103,0,IF(Dashboard!$C$4&gt;=T103,1,NETWORKDAYS(S103,Dashboard!$C$4,$M$6:$M$11)/NETWORKDAYS(S103,T103,$M$6:$M$11))))</f>
        <v>0</v>
      </c>
      <c r="W103" s="129" t="n">
        <f aca="false">R103*U103</f>
        <v>0</v>
      </c>
      <c r="X103" s="129" t="n">
        <f aca="false">R103*V103</f>
        <v>0</v>
      </c>
      <c r="Y103" s="132" t="b">
        <f aca="false">AND(ISNUMBER($A103),ISNUMBER($I103),T103&gt;0,T103&lt;Dashboard!$C$4,U103&lt;1)</f>
        <v>0</v>
      </c>
      <c r="Z103" s="129" t="str">
        <f aca="false">IF(Y103,COUNTIF(Y$6:Y103,TRUE()),"")</f>
        <v/>
      </c>
      <c r="AA103" s="132" t="b">
        <f aca="false">AND(ISNUMBER($A103),ISNUMBER($I103),U103&lt;1,NOT(Y103),S103&gt;0,S103&lt;=WORKDAY(Dashboard!$C$4,10,$M$6:$M$11),T103&gt;=Dashboard!$C$4)</f>
        <v>0</v>
      </c>
      <c r="AB103" s="129" t="str">
        <f aca="false">IF(AA103,COUNTIF(AA$6:AA103,TRUE()),"")</f>
        <v/>
      </c>
    </row>
    <row r="104" customFormat="false" ht="15" hidden="false" customHeight="false" outlineLevel="0" collapsed="false">
      <c r="A104" s="133" t="n">
        <v>111</v>
      </c>
      <c r="B104" s="134" t="n">
        <f aca="false">IF('Scope Checklist'!A111="","-",'Scope Checklist'!A111)</f>
        <v>111</v>
      </c>
      <c r="C104" s="135" t="str">
        <f aca="false">'Scope Checklist'!D111</f>
        <v>LED niche</v>
      </c>
      <c r="D104" s="62" t="s">
        <v>774</v>
      </c>
      <c r="E104" s="136" t="n">
        <v>0</v>
      </c>
      <c r="F104" s="136" t="n">
        <v>1</v>
      </c>
      <c r="G104" s="64" t="n">
        <f aca="false">WORKDAY(G103,E104,$M$6:$M$11)</f>
        <v>46414</v>
      </c>
      <c r="H104" s="64" t="n">
        <f aca="false">WORKDAY(G104,F104-1,$M$6:$M$11)</f>
        <v>46414</v>
      </c>
      <c r="I104" s="136" t="n">
        <v>3</v>
      </c>
      <c r="J104" s="133" t="s">
        <v>184</v>
      </c>
      <c r="K104" s="62" t="s">
        <v>722</v>
      </c>
      <c r="P104" s="129" t="str">
        <f aca="false">IF(ISNUMBER($A104),INDEX('Scope Checklist'!$B:$B,$A104),"")</f>
        <v>Bath - Secondary</v>
      </c>
      <c r="Q104" s="129" t="str">
        <f aca="false">IF(ISNUMBER($A104),INDEX('Scope Checklist'!$E:$E,$A104),"")</f>
        <v>Pending</v>
      </c>
      <c r="R104" s="129" t="n">
        <f aca="false">IF(AND(ISNUMBER($A104),ISNUMBER($I104),ISNUMBER($H104)),$I104,0)</f>
        <v>3</v>
      </c>
      <c r="S104" s="130" t="n">
        <f aca="false">IF(ISNUMBER($G104),$G104,0)</f>
        <v>46414</v>
      </c>
      <c r="T104" s="130" t="n">
        <f aca="false">IF(ISNUMBER($H104),$H104,S104)</f>
        <v>46414</v>
      </c>
      <c r="U104" s="131" t="n">
        <f aca="false">IF(ISNUMBER($A104),IF(Q104="Complete",1,N(INDEX('Scope Checklist'!$I:$I,$A104))),0)</f>
        <v>0</v>
      </c>
      <c r="V104" s="131" t="n">
        <f aca="false">IF(OR(NOT(ISNUMBER($A104)),S104=0),0,IF(Dashboard!$C$4&lt;S104,0,IF(Dashboard!$C$4&gt;=T104,1,NETWORKDAYS(S104,Dashboard!$C$4,$M$6:$M$11)/NETWORKDAYS(S104,T104,$M$6:$M$11))))</f>
        <v>0</v>
      </c>
      <c r="W104" s="129" t="n">
        <f aca="false">R104*U104</f>
        <v>0</v>
      </c>
      <c r="X104" s="129" t="n">
        <f aca="false">R104*V104</f>
        <v>0</v>
      </c>
      <c r="Y104" s="132" t="b">
        <f aca="false">AND(ISNUMBER($A104),ISNUMBER($I104),T104&gt;0,T104&lt;Dashboard!$C$4,U104&lt;1)</f>
        <v>0</v>
      </c>
      <c r="Z104" s="129" t="str">
        <f aca="false">IF(Y104,COUNTIF(Y$6:Y104,TRUE()),"")</f>
        <v/>
      </c>
      <c r="AA104" s="132" t="b">
        <f aca="false">AND(ISNUMBER($A104),ISNUMBER($I104),U104&lt;1,NOT(Y104),S104&gt;0,S104&lt;=WORKDAY(Dashboard!$C$4,10,$M$6:$M$11),T104&gt;=Dashboard!$C$4)</f>
        <v>0</v>
      </c>
      <c r="AB104" s="129" t="str">
        <f aca="false">IF(AA104,COUNTIF(AA$6:AA104,TRUE()),"")</f>
        <v/>
      </c>
    </row>
    <row r="105" customFormat="false" ht="15" hidden="false" customHeight="false" outlineLevel="0" collapsed="false">
      <c r="A105" s="133" t="n">
        <v>112</v>
      </c>
      <c r="B105" s="134" t="n">
        <f aca="false">IF('Scope Checklist'!A112="","-",'Scope Checklist'!A112)</f>
        <v>115</v>
      </c>
      <c r="C105" s="135" t="str">
        <f aca="false">'Scope Checklist'!D112</f>
        <v>Metal trim (edge profile) - verify availability</v>
      </c>
      <c r="D105" s="62" t="s">
        <v>776</v>
      </c>
      <c r="E105" s="136" t="n">
        <v>0</v>
      </c>
      <c r="F105" s="136" t="n">
        <v>1</v>
      </c>
      <c r="G105" s="64" t="n">
        <f aca="false">WORKDAY(G102,E105,$M$6:$M$11)</f>
        <v>46409</v>
      </c>
      <c r="H105" s="64" t="n">
        <f aca="false">WORKDAY(G105,F105-1,$M$6:$M$11)</f>
        <v>46409</v>
      </c>
      <c r="I105" s="136" t="n">
        <v>2</v>
      </c>
      <c r="J105" s="133" t="s">
        <v>184</v>
      </c>
      <c r="K105" s="62" t="s">
        <v>722</v>
      </c>
      <c r="P105" s="129" t="str">
        <f aca="false">IF(ISNUMBER($A105),INDEX('Scope Checklist'!$B:$B,$A105),"")</f>
        <v>Bath - Secondary</v>
      </c>
      <c r="Q105" s="129" t="str">
        <f aca="false">IF(ISNUMBER($A105),INDEX('Scope Checklist'!$E:$E,$A105),"")</f>
        <v>Pending</v>
      </c>
      <c r="R105" s="129" t="n">
        <f aca="false">IF(AND(ISNUMBER($A105),ISNUMBER($I105),ISNUMBER($H105)),$I105,0)</f>
        <v>2</v>
      </c>
      <c r="S105" s="130" t="n">
        <f aca="false">IF(ISNUMBER($G105),$G105,0)</f>
        <v>46409</v>
      </c>
      <c r="T105" s="130" t="n">
        <f aca="false">IF(ISNUMBER($H105),$H105,S105)</f>
        <v>46409</v>
      </c>
      <c r="U105" s="131" t="n">
        <f aca="false">IF(ISNUMBER($A105),IF(Q105="Complete",1,N(INDEX('Scope Checklist'!$I:$I,$A105))),0)</f>
        <v>0</v>
      </c>
      <c r="V105" s="131" t="n">
        <f aca="false">IF(OR(NOT(ISNUMBER($A105)),S105=0),0,IF(Dashboard!$C$4&lt;S105,0,IF(Dashboard!$C$4&gt;=T105,1,NETWORKDAYS(S105,Dashboard!$C$4,$M$6:$M$11)/NETWORKDAYS(S105,T105,$M$6:$M$11))))</f>
        <v>0</v>
      </c>
      <c r="W105" s="129" t="n">
        <f aca="false">R105*U105</f>
        <v>0</v>
      </c>
      <c r="X105" s="129" t="n">
        <f aca="false">R105*V105</f>
        <v>0</v>
      </c>
      <c r="Y105" s="132" t="b">
        <f aca="false">AND(ISNUMBER($A105),ISNUMBER($I105),T105&gt;0,T105&lt;Dashboard!$C$4,U105&lt;1)</f>
        <v>0</v>
      </c>
      <c r="Z105" s="129" t="str">
        <f aca="false">IF(Y105,COUNTIF(Y$6:Y105,TRUE()),"")</f>
        <v/>
      </c>
      <c r="AA105" s="132" t="b">
        <f aca="false">AND(ISNUMBER($A105),ISNUMBER($I105),U105&lt;1,NOT(Y105),S105&gt;0,S105&lt;=WORKDAY(Dashboard!$C$4,10,$M$6:$M$11),T105&gt;=Dashboard!$C$4)</f>
        <v>0</v>
      </c>
      <c r="AB105" s="129" t="str">
        <f aca="false">IF(AA105,COUNTIF(AA$6:AA105,TRUE()),"")</f>
        <v/>
      </c>
    </row>
    <row r="106" customFormat="false" ht="15" hidden="false" customHeight="false" outlineLevel="0" collapsed="false">
      <c r="A106" s="133" t="n">
        <v>113</v>
      </c>
      <c r="B106" s="134" t="n">
        <f aca="false">IF('Scope Checklist'!A113="","-",'Scope Checklist'!A113)</f>
        <v>114</v>
      </c>
      <c r="C106" s="135" t="str">
        <f aca="false">'Scope Checklist'!D113</f>
        <v>Shower tile install</v>
      </c>
      <c r="D106" s="62" t="s">
        <v>802</v>
      </c>
      <c r="E106" s="136" t="n">
        <v>5</v>
      </c>
      <c r="F106" s="136" t="n">
        <v>5</v>
      </c>
      <c r="G106" s="64" t="n">
        <f aca="false">WORKDAY(G89,E106,$M$6:$M$11)</f>
        <v>46428</v>
      </c>
      <c r="H106" s="64" t="n">
        <f aca="false">WORKDAY(G106,F106-1,$M$6:$M$11)</f>
        <v>46434</v>
      </c>
      <c r="I106" s="133" t="s">
        <v>124</v>
      </c>
      <c r="J106" s="133" t="s">
        <v>194</v>
      </c>
      <c r="K106" s="62" t="s">
        <v>803</v>
      </c>
      <c r="P106" s="129" t="str">
        <f aca="false">IF(ISNUMBER($A106),INDEX('Scope Checklist'!$B:$B,$A106),"")</f>
        <v>Bath - Secondary</v>
      </c>
      <c r="Q106" s="129" t="str">
        <f aca="false">IF(ISNUMBER($A106),INDEX('Scope Checklist'!$E:$E,$A106),"")</f>
        <v>Pending</v>
      </c>
      <c r="R106" s="129" t="n">
        <f aca="false">IF(AND(ISNUMBER($A106),ISNUMBER($I106),ISNUMBER($H106)),$I106,0)</f>
        <v>0</v>
      </c>
      <c r="S106" s="130" t="n">
        <f aca="false">IF(ISNUMBER($G106),$G106,0)</f>
        <v>46428</v>
      </c>
      <c r="T106" s="130" t="n">
        <f aca="false">IF(ISNUMBER($H106),$H106,S106)</f>
        <v>46434</v>
      </c>
      <c r="U106" s="131" t="n">
        <f aca="false">IF(ISNUMBER($A106),IF(Q106="Complete",1,N(INDEX('Scope Checklist'!$I:$I,$A106))),0)</f>
        <v>0</v>
      </c>
      <c r="V106" s="131" t="n">
        <f aca="false">IF(OR(NOT(ISNUMBER($A106)),S106=0),0,IF(Dashboard!$C$4&lt;S106,0,IF(Dashboard!$C$4&gt;=T106,1,NETWORKDAYS(S106,Dashboard!$C$4,$M$6:$M$11)/NETWORKDAYS(S106,T106,$M$6:$M$11))))</f>
        <v>0</v>
      </c>
      <c r="W106" s="129" t="n">
        <f aca="false">R106*U106</f>
        <v>0</v>
      </c>
      <c r="X106" s="129" t="n">
        <f aca="false">R106*V106</f>
        <v>0</v>
      </c>
      <c r="Y106" s="132" t="b">
        <f aca="false">AND(ISNUMBER($A106),ISNUMBER($I106),T106&gt;0,T106&lt;Dashboard!$C$4,U106&lt;1)</f>
        <v>0</v>
      </c>
      <c r="Z106" s="129" t="str">
        <f aca="false">IF(Y106,COUNTIF(Y$6:Y106,TRUE()),"")</f>
        <v/>
      </c>
      <c r="AA106" s="132" t="b">
        <f aca="false">AND(ISNUMBER($A106),ISNUMBER($I106),U106&lt;1,NOT(Y106),S106&gt;0,S106&lt;=WORKDAY(Dashboard!$C$4,10,$M$6:$M$11),T106&gt;=Dashboard!$C$4)</f>
        <v>0</v>
      </c>
      <c r="AB106" s="129" t="str">
        <f aca="false">IF(AA106,COUNTIF(AA$6:AA106,TRUE()),"")</f>
        <v/>
      </c>
    </row>
    <row r="107" customFormat="false" ht="15" hidden="false" customHeight="false" outlineLevel="0" collapsed="false">
      <c r="A107" s="133" t="n">
        <v>114</v>
      </c>
      <c r="B107" s="134" t="n">
        <f aca="false">IF('Scope Checklist'!A114="","-",'Scope Checklist'!A114)</f>
        <v>118</v>
      </c>
      <c r="C107" s="135" t="str">
        <f aca="false">'Scope Checklist'!D114</f>
        <v>Pocket door - verify function + paint</v>
      </c>
      <c r="D107" s="62" t="s">
        <v>783</v>
      </c>
      <c r="E107" s="136" t="n">
        <v>0</v>
      </c>
      <c r="F107" s="136" t="n">
        <v>1</v>
      </c>
      <c r="G107" s="64" t="n">
        <f aca="false">WORKDAY(G90,E107,$M$6:$M$11)</f>
        <v>46435</v>
      </c>
      <c r="H107" s="64" t="n">
        <f aca="false">WORKDAY(G107,F107-1,$M$6:$M$11)</f>
        <v>46435</v>
      </c>
      <c r="I107" s="136" t="n">
        <v>3</v>
      </c>
      <c r="J107" s="133" t="s">
        <v>215</v>
      </c>
      <c r="K107" s="62" t="s">
        <v>722</v>
      </c>
      <c r="P107" s="129" t="str">
        <f aca="false">IF(ISNUMBER($A107),INDEX('Scope Checklist'!$B:$B,$A107),"")</f>
        <v>Bath - Secondary</v>
      </c>
      <c r="Q107" s="129" t="str">
        <f aca="false">IF(ISNUMBER($A107),INDEX('Scope Checklist'!$E:$E,$A107),"")</f>
        <v>Pending</v>
      </c>
      <c r="R107" s="129" t="n">
        <f aca="false">IF(AND(ISNUMBER($A107),ISNUMBER($I107),ISNUMBER($H107)),$I107,0)</f>
        <v>3</v>
      </c>
      <c r="S107" s="130" t="n">
        <f aca="false">IF(ISNUMBER($G107),$G107,0)</f>
        <v>46435</v>
      </c>
      <c r="T107" s="130" t="n">
        <f aca="false">IF(ISNUMBER($H107),$H107,S107)</f>
        <v>46435</v>
      </c>
      <c r="U107" s="131" t="n">
        <f aca="false">IF(ISNUMBER($A107),IF(Q107="Complete",1,N(INDEX('Scope Checklist'!$I:$I,$A107))),0)</f>
        <v>0</v>
      </c>
      <c r="V107" s="131" t="n">
        <f aca="false">IF(OR(NOT(ISNUMBER($A107)),S107=0),0,IF(Dashboard!$C$4&lt;S107,0,IF(Dashboard!$C$4&gt;=T107,1,NETWORKDAYS(S107,Dashboard!$C$4,$M$6:$M$11)/NETWORKDAYS(S107,T107,$M$6:$M$11))))</f>
        <v>0</v>
      </c>
      <c r="W107" s="129" t="n">
        <f aca="false">R107*U107</f>
        <v>0</v>
      </c>
      <c r="X107" s="129" t="n">
        <f aca="false">R107*V107</f>
        <v>0</v>
      </c>
      <c r="Y107" s="132" t="b">
        <f aca="false">AND(ISNUMBER($A107),ISNUMBER($I107),T107&gt;0,T107&lt;Dashboard!$C$4,U107&lt;1)</f>
        <v>0</v>
      </c>
      <c r="Z107" s="129" t="str">
        <f aca="false">IF(Y107,COUNTIF(Y$6:Y107,TRUE()),"")</f>
        <v/>
      </c>
      <c r="AA107" s="132" t="b">
        <f aca="false">AND(ISNUMBER($A107),ISNUMBER($I107),U107&lt;1,NOT(Y107),S107&gt;0,S107&lt;=WORKDAY(Dashboard!$C$4,10,$M$6:$M$11),T107&gt;=Dashboard!$C$4)</f>
        <v>0</v>
      </c>
      <c r="AB107" s="129" t="str">
        <f aca="false">IF(AA107,COUNTIF(AA$6:AA107,TRUE()),"")</f>
        <v/>
      </c>
    </row>
    <row r="108" customFormat="false" ht="15" hidden="false" customHeight="false" outlineLevel="0" collapsed="false">
      <c r="A108" s="133" t="n">
        <v>115</v>
      </c>
      <c r="B108" s="134" t="n">
        <f aca="false">IF('Scope Checklist'!A115="","-",'Scope Checklist'!A115)</f>
        <v>106</v>
      </c>
      <c r="C108" s="135" t="str">
        <f aca="false">'Scope Checklist'!D115</f>
        <v>Vanity cabinetry - confirm quality</v>
      </c>
      <c r="D108" s="62" t="s">
        <v>804</v>
      </c>
      <c r="E108" s="136" t="n">
        <v>0</v>
      </c>
      <c r="F108" s="136" t="n">
        <v>1</v>
      </c>
      <c r="G108" s="64" t="n">
        <f aca="false">WORKDAY(G92,E108,$M$6:$M$11)</f>
        <v>46437</v>
      </c>
      <c r="H108" s="64" t="n">
        <f aca="false">WORKDAY(G108,F108-1,$M$6:$M$11)</f>
        <v>46437</v>
      </c>
      <c r="I108" s="136" t="n">
        <v>4</v>
      </c>
      <c r="J108" s="133" t="s">
        <v>164</v>
      </c>
      <c r="K108" s="62" t="s">
        <v>722</v>
      </c>
      <c r="P108" s="129" t="str">
        <f aca="false">IF(ISNUMBER($A108),INDEX('Scope Checklist'!$B:$B,$A108),"")</f>
        <v>Bath - Secondary</v>
      </c>
      <c r="Q108" s="129" t="str">
        <f aca="false">IF(ISNUMBER($A108),INDEX('Scope Checklist'!$E:$E,$A108),"")</f>
        <v>Pending</v>
      </c>
      <c r="R108" s="129" t="n">
        <f aca="false">IF(AND(ISNUMBER($A108),ISNUMBER($I108),ISNUMBER($H108)),$I108,0)</f>
        <v>4</v>
      </c>
      <c r="S108" s="130" t="n">
        <f aca="false">IF(ISNUMBER($G108),$G108,0)</f>
        <v>46437</v>
      </c>
      <c r="T108" s="130" t="n">
        <f aca="false">IF(ISNUMBER($H108),$H108,S108)</f>
        <v>46437</v>
      </c>
      <c r="U108" s="131" t="n">
        <f aca="false">IF(ISNUMBER($A108),IF(Q108="Complete",1,N(INDEX('Scope Checklist'!$I:$I,$A108))),0)</f>
        <v>0</v>
      </c>
      <c r="V108" s="131" t="n">
        <f aca="false">IF(OR(NOT(ISNUMBER($A108)),S108=0),0,IF(Dashboard!$C$4&lt;S108,0,IF(Dashboard!$C$4&gt;=T108,1,NETWORKDAYS(S108,Dashboard!$C$4,$M$6:$M$11)/NETWORKDAYS(S108,T108,$M$6:$M$11))))</f>
        <v>0</v>
      </c>
      <c r="W108" s="129" t="n">
        <f aca="false">R108*U108</f>
        <v>0</v>
      </c>
      <c r="X108" s="129" t="n">
        <f aca="false">R108*V108</f>
        <v>0</v>
      </c>
      <c r="Y108" s="132" t="b">
        <f aca="false">AND(ISNUMBER($A108),ISNUMBER($I108),T108&gt;0,T108&lt;Dashboard!$C$4,U108&lt;1)</f>
        <v>0</v>
      </c>
      <c r="Z108" s="129" t="str">
        <f aca="false">IF(Y108,COUNTIF(Y$6:Y108,TRUE()),"")</f>
        <v/>
      </c>
      <c r="AA108" s="132" t="b">
        <f aca="false">AND(ISNUMBER($A108),ISNUMBER($I108),U108&lt;1,NOT(Y108),S108&gt;0,S108&lt;=WORKDAY(Dashboard!$C$4,10,$M$6:$M$11),T108&gt;=Dashboard!$C$4)</f>
        <v>0</v>
      </c>
      <c r="AB108" s="129" t="str">
        <f aca="false">IF(AA108,COUNTIF(AA$6:AA108,TRUE()),"")</f>
        <v/>
      </c>
    </row>
    <row r="109" customFormat="false" ht="15" hidden="false" customHeight="false" outlineLevel="0" collapsed="false">
      <c r="A109" s="133" t="n">
        <v>116</v>
      </c>
      <c r="B109" s="134" t="n">
        <f aca="false">IF('Scope Checklist'!A116="","-",'Scope Checklist'!A116)</f>
        <v>108</v>
      </c>
      <c r="C109" s="135" t="str">
        <f aca="false">'Scope Checklist'!D116</f>
        <v>Vanity stone top - select (~8 sq ft)</v>
      </c>
      <c r="D109" s="62" t="s">
        <v>805</v>
      </c>
      <c r="E109" s="136" t="n">
        <v>0</v>
      </c>
      <c r="F109" s="136" t="n">
        <v>8</v>
      </c>
      <c r="G109" s="64" t="n">
        <f aca="false">WORKDAY(G93,E109,$M$6:$M$11)</f>
        <v>46440</v>
      </c>
      <c r="H109" s="64" t="n">
        <f aca="false">WORKDAY(G109,F109-1,$M$6:$M$11)</f>
        <v>46449</v>
      </c>
      <c r="I109" s="136" t="n">
        <v>4</v>
      </c>
      <c r="J109" s="133" t="s">
        <v>299</v>
      </c>
      <c r="K109" s="62" t="s">
        <v>722</v>
      </c>
      <c r="P109" s="129" t="str">
        <f aca="false">IF(ISNUMBER($A109),INDEX('Scope Checklist'!$B:$B,$A109),"")</f>
        <v>Bath - Secondary</v>
      </c>
      <c r="Q109" s="129" t="str">
        <f aca="false">IF(ISNUMBER($A109),INDEX('Scope Checklist'!$E:$E,$A109),"")</f>
        <v>Pending</v>
      </c>
      <c r="R109" s="129" t="n">
        <f aca="false">IF(AND(ISNUMBER($A109),ISNUMBER($I109),ISNUMBER($H109)),$I109,0)</f>
        <v>4</v>
      </c>
      <c r="S109" s="130" t="n">
        <f aca="false">IF(ISNUMBER($G109),$G109,0)</f>
        <v>46440</v>
      </c>
      <c r="T109" s="130" t="n">
        <f aca="false">IF(ISNUMBER($H109),$H109,S109)</f>
        <v>46449</v>
      </c>
      <c r="U109" s="131" t="n">
        <f aca="false">IF(ISNUMBER($A109),IF(Q109="Complete",1,N(INDEX('Scope Checklist'!$I:$I,$A109))),0)</f>
        <v>0</v>
      </c>
      <c r="V109" s="131" t="n">
        <f aca="false">IF(OR(NOT(ISNUMBER($A109)),S109=0),0,IF(Dashboard!$C$4&lt;S109,0,IF(Dashboard!$C$4&gt;=T109,1,NETWORKDAYS(S109,Dashboard!$C$4,$M$6:$M$11)/NETWORKDAYS(S109,T109,$M$6:$M$11))))</f>
        <v>0</v>
      </c>
      <c r="W109" s="129" t="n">
        <f aca="false">R109*U109</f>
        <v>0</v>
      </c>
      <c r="X109" s="129" t="n">
        <f aca="false">R109*V109</f>
        <v>0</v>
      </c>
      <c r="Y109" s="132" t="b">
        <f aca="false">AND(ISNUMBER($A109),ISNUMBER($I109),T109&gt;0,T109&lt;Dashboard!$C$4,U109&lt;1)</f>
        <v>0</v>
      </c>
      <c r="Z109" s="129" t="str">
        <f aca="false">IF(Y109,COUNTIF(Y$6:Y109,TRUE()),"")</f>
        <v/>
      </c>
      <c r="AA109" s="132" t="b">
        <f aca="false">AND(ISNUMBER($A109),ISNUMBER($I109),U109&lt;1,NOT(Y109),S109&gt;0,S109&lt;=WORKDAY(Dashboard!$C$4,10,$M$6:$M$11),T109&gt;=Dashboard!$C$4)</f>
        <v>0</v>
      </c>
      <c r="AB109" s="129" t="str">
        <f aca="false">IF(AA109,COUNTIF(AA$6:AA109,TRUE()),"")</f>
        <v/>
      </c>
    </row>
    <row r="110" customFormat="false" ht="15" hidden="false" customHeight="false" outlineLevel="0" collapsed="false">
      <c r="A110" s="133" t="n">
        <v>117</v>
      </c>
      <c r="B110" s="134" t="n">
        <f aca="false">IF('Scope Checklist'!A117="","-",'Scope Checklist'!A117)</f>
        <v>116</v>
      </c>
      <c r="C110" s="135" t="str">
        <f aca="false">'Scope Checklist'!D117</f>
        <v>Threshold + bench top</v>
      </c>
      <c r="D110" s="62" t="s">
        <v>805</v>
      </c>
      <c r="E110" s="136" t="n">
        <v>0</v>
      </c>
      <c r="F110" s="136" t="n">
        <v>8</v>
      </c>
      <c r="G110" s="64" t="n">
        <f aca="false">WORKDAY(G94,E110,$M$6:$M$11)</f>
        <v>46440</v>
      </c>
      <c r="H110" s="64" t="n">
        <f aca="false">WORKDAY(G110,F110-1,$M$6:$M$11)</f>
        <v>46449</v>
      </c>
      <c r="I110" s="136" t="n">
        <v>3</v>
      </c>
      <c r="J110" s="133" t="s">
        <v>354</v>
      </c>
      <c r="K110" s="62" t="s">
        <v>722</v>
      </c>
      <c r="P110" s="129" t="str">
        <f aca="false">IF(ISNUMBER($A110),INDEX('Scope Checklist'!$B:$B,$A110),"")</f>
        <v>Bath - Secondary</v>
      </c>
      <c r="Q110" s="129" t="str">
        <f aca="false">IF(ISNUMBER($A110),INDEX('Scope Checklist'!$E:$E,$A110),"")</f>
        <v>Pending</v>
      </c>
      <c r="R110" s="129" t="n">
        <f aca="false">IF(AND(ISNUMBER($A110),ISNUMBER($I110),ISNUMBER($H110)),$I110,0)</f>
        <v>3</v>
      </c>
      <c r="S110" s="130" t="n">
        <f aca="false">IF(ISNUMBER($G110),$G110,0)</f>
        <v>46440</v>
      </c>
      <c r="T110" s="130" t="n">
        <f aca="false">IF(ISNUMBER($H110),$H110,S110)</f>
        <v>46449</v>
      </c>
      <c r="U110" s="131" t="n">
        <f aca="false">IF(ISNUMBER($A110),IF(Q110="Complete",1,N(INDEX('Scope Checklist'!$I:$I,$A110))),0)</f>
        <v>0</v>
      </c>
      <c r="V110" s="131" t="n">
        <f aca="false">IF(OR(NOT(ISNUMBER($A110)),S110=0),0,IF(Dashboard!$C$4&lt;S110,0,IF(Dashboard!$C$4&gt;=T110,1,NETWORKDAYS(S110,Dashboard!$C$4,$M$6:$M$11)/NETWORKDAYS(S110,T110,$M$6:$M$11))))</f>
        <v>0</v>
      </c>
      <c r="W110" s="129" t="n">
        <f aca="false">R110*U110</f>
        <v>0</v>
      </c>
      <c r="X110" s="129" t="n">
        <f aca="false">R110*V110</f>
        <v>0</v>
      </c>
      <c r="Y110" s="132" t="b">
        <f aca="false">AND(ISNUMBER($A110),ISNUMBER($I110),T110&gt;0,T110&lt;Dashboard!$C$4,U110&lt;1)</f>
        <v>0</v>
      </c>
      <c r="Z110" s="129" t="str">
        <f aca="false">IF(Y110,COUNTIF(Y$6:Y110,TRUE()),"")</f>
        <v/>
      </c>
      <c r="AA110" s="132" t="b">
        <f aca="false">AND(ISNUMBER($A110),ISNUMBER($I110),U110&lt;1,NOT(Y110),S110&gt;0,S110&lt;=WORKDAY(Dashboard!$C$4,10,$M$6:$M$11),T110&gt;=Dashboard!$C$4)</f>
        <v>0</v>
      </c>
      <c r="AB110" s="129" t="str">
        <f aca="false">IF(AA110,COUNTIF(AA$6:AA110,TRUE()),"")</f>
        <v/>
      </c>
    </row>
    <row r="111" customFormat="false" ht="15" hidden="false" customHeight="false" outlineLevel="0" collapsed="false">
      <c r="A111" s="133" t="n">
        <v>118</v>
      </c>
      <c r="B111" s="134" t="n">
        <f aca="false">IF('Scope Checklist'!A118="","-",'Scope Checklist'!A118)</f>
        <v>117</v>
      </c>
      <c r="C111" s="135" t="str">
        <f aca="false">'Scope Checklist'!D118</f>
        <v>Glass shower enclosure</v>
      </c>
      <c r="D111" s="62" t="s">
        <v>806</v>
      </c>
      <c r="E111" s="136" t="n">
        <v>0</v>
      </c>
      <c r="F111" s="136" t="n">
        <v>2</v>
      </c>
      <c r="G111" s="64" t="n">
        <f aca="false">WORKDAY(H110,1+E111,$M$6:$M$11)</f>
        <v>46450</v>
      </c>
      <c r="H111" s="64" t="n">
        <f aca="false">WORKDAY(G111,F111-1,$M$6:$M$11)</f>
        <v>46451</v>
      </c>
      <c r="I111" s="136" t="n">
        <v>8</v>
      </c>
      <c r="J111" s="133" t="s">
        <v>382</v>
      </c>
      <c r="K111" s="62" t="s">
        <v>807</v>
      </c>
      <c r="P111" s="129" t="str">
        <f aca="false">IF(ISNUMBER($A111),INDEX('Scope Checklist'!$B:$B,$A111),"")</f>
        <v>Bath - Secondary</v>
      </c>
      <c r="Q111" s="129" t="str">
        <f aca="false">IF(ISNUMBER($A111),INDEX('Scope Checklist'!$E:$E,$A111),"")</f>
        <v>Pending</v>
      </c>
      <c r="R111" s="129" t="n">
        <f aca="false">IF(AND(ISNUMBER($A111),ISNUMBER($I111),ISNUMBER($H111)),$I111,0)</f>
        <v>8</v>
      </c>
      <c r="S111" s="130" t="n">
        <f aca="false">IF(ISNUMBER($G111),$G111,0)</f>
        <v>46450</v>
      </c>
      <c r="T111" s="130" t="n">
        <f aca="false">IF(ISNUMBER($H111),$H111,S111)</f>
        <v>46451</v>
      </c>
      <c r="U111" s="131" t="n">
        <f aca="false">IF(ISNUMBER($A111),IF(Q111="Complete",1,N(INDEX('Scope Checklist'!$I:$I,$A111))),0)</f>
        <v>0</v>
      </c>
      <c r="V111" s="131" t="n">
        <f aca="false">IF(OR(NOT(ISNUMBER($A111)),S111=0),0,IF(Dashboard!$C$4&lt;S111,0,IF(Dashboard!$C$4&gt;=T111,1,NETWORKDAYS(S111,Dashboard!$C$4,$M$6:$M$11)/NETWORKDAYS(S111,T111,$M$6:$M$11))))</f>
        <v>0</v>
      </c>
      <c r="W111" s="129" t="n">
        <f aca="false">R111*U111</f>
        <v>0</v>
      </c>
      <c r="X111" s="129" t="n">
        <f aca="false">R111*V111</f>
        <v>0</v>
      </c>
      <c r="Y111" s="132" t="b">
        <f aca="false">AND(ISNUMBER($A111),ISNUMBER($I111),T111&gt;0,T111&lt;Dashboard!$C$4,U111&lt;1)</f>
        <v>0</v>
      </c>
      <c r="Z111" s="129" t="str">
        <f aca="false">IF(Y111,COUNTIF(Y$6:Y111,TRUE()),"")</f>
        <v/>
      </c>
      <c r="AA111" s="132" t="b">
        <f aca="false">AND(ISNUMBER($A111),ISNUMBER($I111),U111&lt;1,NOT(Y111),S111&gt;0,S111&lt;=WORKDAY(Dashboard!$C$4,10,$M$6:$M$11),T111&gt;=Dashboard!$C$4)</f>
        <v>0</v>
      </c>
      <c r="AB111" s="129" t="str">
        <f aca="false">IF(AA111,COUNTIF(AA$6:AA111,TRUE()),"")</f>
        <v/>
      </c>
    </row>
    <row r="112" customFormat="false" ht="15" hidden="false" customHeight="false" outlineLevel="0" collapsed="false">
      <c r="A112" s="133" t="n">
        <v>119</v>
      </c>
      <c r="B112" s="134" t="n">
        <f aca="false">IF('Scope Checklist'!A119="","-",'Scope Checklist'!A119)</f>
        <v>109</v>
      </c>
      <c r="C112" s="135" t="str">
        <f aca="false">'Scope Checklist'!D119</f>
        <v>Faucet + sink - install</v>
      </c>
      <c r="D112" s="62" t="s">
        <v>808</v>
      </c>
      <c r="E112" s="136" t="n">
        <v>0</v>
      </c>
      <c r="F112" s="136" t="n">
        <v>1</v>
      </c>
      <c r="G112" s="64" t="n">
        <f aca="false">WORKDAY(H109,1+E112,$M$6:$M$11)</f>
        <v>46450</v>
      </c>
      <c r="H112" s="64" t="n">
        <f aca="false">WORKDAY(G112,F112-1,$M$6:$M$11)</f>
        <v>46450</v>
      </c>
      <c r="I112" s="136" t="n">
        <v>4</v>
      </c>
      <c r="J112" s="133" t="s">
        <v>184</v>
      </c>
      <c r="K112" s="62" t="s">
        <v>792</v>
      </c>
      <c r="P112" s="129" t="str">
        <f aca="false">IF(ISNUMBER($A112),INDEX('Scope Checklist'!$B:$B,$A112),"")</f>
        <v>Bath - Secondary</v>
      </c>
      <c r="Q112" s="129" t="str">
        <f aca="false">IF(ISNUMBER($A112),INDEX('Scope Checklist'!$E:$E,$A112),"")</f>
        <v>Pending</v>
      </c>
      <c r="R112" s="129" t="n">
        <f aca="false">IF(AND(ISNUMBER($A112),ISNUMBER($I112),ISNUMBER($H112)),$I112,0)</f>
        <v>4</v>
      </c>
      <c r="S112" s="130" t="n">
        <f aca="false">IF(ISNUMBER($G112),$G112,0)</f>
        <v>46450</v>
      </c>
      <c r="T112" s="130" t="n">
        <f aca="false">IF(ISNUMBER($H112),$H112,S112)</f>
        <v>46450</v>
      </c>
      <c r="U112" s="131" t="n">
        <f aca="false">IF(ISNUMBER($A112),IF(Q112="Complete",1,N(INDEX('Scope Checklist'!$I:$I,$A112))),0)</f>
        <v>0</v>
      </c>
      <c r="V112" s="131" t="n">
        <f aca="false">IF(OR(NOT(ISNUMBER($A112)),S112=0),0,IF(Dashboard!$C$4&lt;S112,0,IF(Dashboard!$C$4&gt;=T112,1,NETWORKDAYS(S112,Dashboard!$C$4,$M$6:$M$11)/NETWORKDAYS(S112,T112,$M$6:$M$11))))</f>
        <v>0</v>
      </c>
      <c r="W112" s="129" t="n">
        <f aca="false">R112*U112</f>
        <v>0</v>
      </c>
      <c r="X112" s="129" t="n">
        <f aca="false">R112*V112</f>
        <v>0</v>
      </c>
      <c r="Y112" s="132" t="b">
        <f aca="false">AND(ISNUMBER($A112),ISNUMBER($I112),T112&gt;0,T112&lt;Dashboard!$C$4,U112&lt;1)</f>
        <v>0</v>
      </c>
      <c r="Z112" s="129" t="str">
        <f aca="false">IF(Y112,COUNTIF(Y$6:Y112,TRUE()),"")</f>
        <v/>
      </c>
      <c r="AA112" s="132" t="b">
        <f aca="false">AND(ISNUMBER($A112),ISNUMBER($I112),U112&lt;1,NOT(Y112),S112&gt;0,S112&lt;=WORKDAY(Dashboard!$C$4,10,$M$6:$M$11),T112&gt;=Dashboard!$C$4)</f>
        <v>0</v>
      </c>
      <c r="AB112" s="129" t="str">
        <f aca="false">IF(AA112,COUNTIF(AA$6:AA112,TRUE()),"")</f>
        <v/>
      </c>
    </row>
    <row r="113" customFormat="false" ht="15" hidden="false" customHeight="false" outlineLevel="0" collapsed="false">
      <c r="A113" s="133" t="n">
        <v>120</v>
      </c>
      <c r="B113" s="134" t="n">
        <f aca="false">IF('Scope Checklist'!A120="","-",'Scope Checklist'!A120)</f>
        <v>110</v>
      </c>
      <c r="C113" s="135" t="str">
        <f aca="false">'Scope Checklist'!D120</f>
        <v>Toilet install + new wax ring</v>
      </c>
      <c r="D113" s="62" t="s">
        <v>793</v>
      </c>
      <c r="E113" s="136" t="n">
        <v>0</v>
      </c>
      <c r="F113" s="136" t="n">
        <v>1</v>
      </c>
      <c r="G113" s="64" t="n">
        <f aca="false">WORKDAY(H90,1+E113,$M$6:$M$11)</f>
        <v>46437</v>
      </c>
      <c r="H113" s="64" t="n">
        <f aca="false">WORKDAY(G113,F113-1,$M$6:$M$11)</f>
        <v>46437</v>
      </c>
      <c r="I113" s="136" t="n">
        <v>4</v>
      </c>
      <c r="J113" s="133" t="s">
        <v>184</v>
      </c>
      <c r="K113" s="62" t="s">
        <v>794</v>
      </c>
      <c r="P113" s="129" t="str">
        <f aca="false">IF(ISNUMBER($A113),INDEX('Scope Checklist'!$B:$B,$A113),"")</f>
        <v>Bath - Secondary</v>
      </c>
      <c r="Q113" s="129" t="str">
        <f aca="false">IF(ISNUMBER($A113),INDEX('Scope Checklist'!$E:$E,$A113),"")</f>
        <v>Pending</v>
      </c>
      <c r="R113" s="129" t="n">
        <f aca="false">IF(AND(ISNUMBER($A113),ISNUMBER($I113),ISNUMBER($H113)),$I113,0)</f>
        <v>4</v>
      </c>
      <c r="S113" s="130" t="n">
        <f aca="false">IF(ISNUMBER($G113),$G113,0)</f>
        <v>46437</v>
      </c>
      <c r="T113" s="130" t="n">
        <f aca="false">IF(ISNUMBER($H113),$H113,S113)</f>
        <v>46437</v>
      </c>
      <c r="U113" s="131" t="n">
        <f aca="false">IF(ISNUMBER($A113),IF(Q113="Complete",1,N(INDEX('Scope Checklist'!$I:$I,$A113))),0)</f>
        <v>0</v>
      </c>
      <c r="V113" s="131" t="n">
        <f aca="false">IF(OR(NOT(ISNUMBER($A113)),S113=0),0,IF(Dashboard!$C$4&lt;S113,0,IF(Dashboard!$C$4&gt;=T113,1,NETWORKDAYS(S113,Dashboard!$C$4,$M$6:$M$11)/NETWORKDAYS(S113,T113,$M$6:$M$11))))</f>
        <v>0</v>
      </c>
      <c r="W113" s="129" t="n">
        <f aca="false">R113*U113</f>
        <v>0</v>
      </c>
      <c r="X113" s="129" t="n">
        <f aca="false">R113*V113</f>
        <v>0</v>
      </c>
      <c r="Y113" s="132" t="b">
        <f aca="false">AND(ISNUMBER($A113),ISNUMBER($I113),T113&gt;0,T113&lt;Dashboard!$C$4,U113&lt;1)</f>
        <v>0</v>
      </c>
      <c r="Z113" s="129" t="str">
        <f aca="false">IF(Y113,COUNTIF(Y$6:Y113,TRUE()),"")</f>
        <v/>
      </c>
      <c r="AA113" s="132" t="b">
        <f aca="false">AND(ISNUMBER($A113),ISNUMBER($I113),U113&lt;1,NOT(Y113),S113&gt;0,S113&lt;=WORKDAY(Dashboard!$C$4,10,$M$6:$M$11),T113&gt;=Dashboard!$C$4)</f>
        <v>0</v>
      </c>
      <c r="AB113" s="129" t="str">
        <f aca="false">IF(AA113,COUNTIF(AA$6:AA113,TRUE()),"")</f>
        <v/>
      </c>
    </row>
    <row r="114" customFormat="false" ht="15" hidden="false" customHeight="false" outlineLevel="0" collapsed="false">
      <c r="A114" s="133" t="n">
        <v>121</v>
      </c>
      <c r="B114" s="134" t="n">
        <f aca="false">IF('Scope Checklist'!A121="","-",'Scope Checklist'!A121)</f>
        <v>119</v>
      </c>
      <c r="C114" s="135" t="str">
        <f aca="false">'Scope Checklist'!D121</f>
        <v>Exhaust fan</v>
      </c>
      <c r="D114" s="62" t="s">
        <v>796</v>
      </c>
      <c r="E114" s="136" t="n">
        <v>0</v>
      </c>
      <c r="F114" s="136" t="n">
        <v>1</v>
      </c>
      <c r="G114" s="64" t="n">
        <f aca="false">WORKDAY(G48,E114,$M$6:$M$11)</f>
        <v>46451</v>
      </c>
      <c r="H114" s="64" t="n">
        <f aca="false">WORKDAY(G114,F114-1,$M$6:$M$11)</f>
        <v>46451</v>
      </c>
      <c r="I114" s="136" t="n">
        <v>3</v>
      </c>
      <c r="J114" s="133" t="s">
        <v>184</v>
      </c>
      <c r="K114" s="62" t="s">
        <v>809</v>
      </c>
      <c r="P114" s="129" t="str">
        <f aca="false">IF(ISNUMBER($A114),INDEX('Scope Checklist'!$B:$B,$A114),"")</f>
        <v>Bath - Secondary</v>
      </c>
      <c r="Q114" s="129" t="str">
        <f aca="false">IF(ISNUMBER($A114),INDEX('Scope Checklist'!$E:$E,$A114),"")</f>
        <v>Pending</v>
      </c>
      <c r="R114" s="129" t="n">
        <f aca="false">IF(AND(ISNUMBER($A114),ISNUMBER($I114),ISNUMBER($H114)),$I114,0)</f>
        <v>3</v>
      </c>
      <c r="S114" s="130" t="n">
        <f aca="false">IF(ISNUMBER($G114),$G114,0)</f>
        <v>46451</v>
      </c>
      <c r="T114" s="130" t="n">
        <f aca="false">IF(ISNUMBER($H114),$H114,S114)</f>
        <v>46451</v>
      </c>
      <c r="U114" s="131" t="n">
        <f aca="false">IF(ISNUMBER($A114),IF(Q114="Complete",1,N(INDEX('Scope Checklist'!$I:$I,$A114))),0)</f>
        <v>0</v>
      </c>
      <c r="V114" s="131" t="n">
        <f aca="false">IF(OR(NOT(ISNUMBER($A114)),S114=0),0,IF(Dashboard!$C$4&lt;S114,0,IF(Dashboard!$C$4&gt;=T114,1,NETWORKDAYS(S114,Dashboard!$C$4,$M$6:$M$11)/NETWORKDAYS(S114,T114,$M$6:$M$11))))</f>
        <v>0</v>
      </c>
      <c r="W114" s="129" t="n">
        <f aca="false">R114*U114</f>
        <v>0</v>
      </c>
      <c r="X114" s="129" t="n">
        <f aca="false">R114*V114</f>
        <v>0</v>
      </c>
      <c r="Y114" s="132" t="b">
        <f aca="false">AND(ISNUMBER($A114),ISNUMBER($I114),T114&gt;0,T114&lt;Dashboard!$C$4,U114&lt;1)</f>
        <v>0</v>
      </c>
      <c r="Z114" s="129" t="str">
        <f aca="false">IF(Y114,COUNTIF(Y$6:Y114,TRUE()),"")</f>
        <v/>
      </c>
      <c r="AA114" s="132" t="b">
        <f aca="false">AND(ISNUMBER($A114),ISNUMBER($I114),U114&lt;1,NOT(Y114),S114&gt;0,S114&lt;=WORKDAY(Dashboard!$C$4,10,$M$6:$M$11),T114&gt;=Dashboard!$C$4)</f>
        <v>0</v>
      </c>
      <c r="AB114" s="129" t="str">
        <f aca="false">IF(AA114,COUNTIF(AA$6:AA114,TRUE()),"")</f>
        <v/>
      </c>
    </row>
    <row r="115" customFormat="false" ht="15" hidden="false" customHeight="false" outlineLevel="0" collapsed="false">
      <c r="A115" s="59" t="s">
        <v>387</v>
      </c>
      <c r="B115" s="127"/>
      <c r="C115" s="127"/>
      <c r="D115" s="127"/>
      <c r="E115" s="127"/>
      <c r="F115" s="127"/>
      <c r="G115" s="127"/>
      <c r="H115" s="127"/>
      <c r="I115" s="127"/>
      <c r="J115" s="127"/>
      <c r="K115" s="127"/>
      <c r="P115" s="129" t="str">
        <f aca="false">IF(ISNUMBER($A115),INDEX('Scope Checklist'!$B:$B,$A115),"")</f>
        <v/>
      </c>
      <c r="Q115" s="129" t="str">
        <f aca="false">IF(ISNUMBER($A115),INDEX('Scope Checklist'!$E:$E,$A115),"")</f>
        <v/>
      </c>
      <c r="R115" s="129" t="n">
        <f aca="false">IF(AND(ISNUMBER($A115),ISNUMBER($I115),ISNUMBER($H115)),$I115,0)</f>
        <v>0</v>
      </c>
      <c r="S115" s="130" t="n">
        <f aca="false">IF(ISNUMBER($G115),$G115,0)</f>
        <v>0</v>
      </c>
      <c r="T115" s="130" t="n">
        <f aca="false">IF(ISNUMBER($H115),$H115,S115)</f>
        <v>0</v>
      </c>
      <c r="U115" s="131" t="n">
        <f aca="false">IF(ISNUMBER($A115),IF(Q115="Complete",1,N(INDEX('Scope Checklist'!$I:$I,$A115))),0)</f>
        <v>0</v>
      </c>
      <c r="V115" s="131" t="n">
        <f aca="false">IF(OR(NOT(ISNUMBER($A115)),S115=0),0,IF(Dashboard!$C$4&lt;S115,0,IF(Dashboard!$C$4&gt;=T115,1,NETWORKDAYS(S115,Dashboard!$C$4,$M$6:$M$11)/NETWORKDAYS(S115,T115,$M$6:$M$11))))</f>
        <v>0</v>
      </c>
      <c r="W115" s="129" t="n">
        <f aca="false">R115*U115</f>
        <v>0</v>
      </c>
      <c r="X115" s="129" t="n">
        <f aca="false">R115*V115</f>
        <v>0</v>
      </c>
      <c r="Y115" s="132" t="b">
        <f aca="false">AND(ISNUMBER($A115),ISNUMBER($I115),T115&gt;0,T115&lt;Dashboard!$C$4,U115&lt;1)</f>
        <v>0</v>
      </c>
      <c r="Z115" s="129" t="str">
        <f aca="false">IF(Y115,COUNTIF(Y$6:Y115,TRUE()),"")</f>
        <v/>
      </c>
      <c r="AA115" s="132" t="b">
        <f aca="false">AND(ISNUMBER($A115),ISNUMBER($I115),U115&lt;1,NOT(Y115),S115&gt;0,S115&lt;=WORKDAY(Dashboard!$C$4,10,$M$6:$M$11),T115&gt;=Dashboard!$C$4)</f>
        <v>0</v>
      </c>
      <c r="AB115" s="129" t="str">
        <f aca="false">IF(AA115,COUNTIF(AA$6:AA115,TRUE()),"")</f>
        <v/>
      </c>
    </row>
    <row r="116" customFormat="false" ht="15" hidden="false" customHeight="false" outlineLevel="0" collapsed="false">
      <c r="A116" s="133" t="n">
        <v>125</v>
      </c>
      <c r="B116" s="134" t="str">
        <f aca="false">IF('Scope Checklist'!A125="","-",'Scope Checklist'!A125)</f>
        <v>N14</v>
      </c>
      <c r="C116" s="135" t="str">
        <f aca="false">'Scope Checklist'!D125</f>
        <v>Floor tile install - living, kitchen, halls (continuous floor)</v>
      </c>
      <c r="D116" s="62" t="s">
        <v>810</v>
      </c>
      <c r="E116" s="136" t="n">
        <v>0</v>
      </c>
      <c r="F116" s="136" t="n">
        <v>8</v>
      </c>
      <c r="G116" s="64" t="n">
        <f aca="false">WORKDAY(H41,1+E116,$M$6:$M$11)</f>
        <v>46414</v>
      </c>
      <c r="H116" s="64" t="n">
        <f aca="false">WORKDAY(G116,F116-1,$M$6:$M$11)</f>
        <v>46423</v>
      </c>
      <c r="I116" s="136" t="n">
        <v>96</v>
      </c>
      <c r="J116" s="133" t="s">
        <v>391</v>
      </c>
      <c r="K116" s="62" t="s">
        <v>811</v>
      </c>
      <c r="P116" s="129" t="str">
        <f aca="false">IF(ISNUMBER($A116),INDEX('Scope Checklist'!$B:$B,$A116),"")</f>
        <v>Interior - Finishes</v>
      </c>
      <c r="Q116" s="129" t="str">
        <f aca="false">IF(ISNUMBER($A116),INDEX('Scope Checklist'!$E:$E,$A116),"")</f>
        <v>Pending</v>
      </c>
      <c r="R116" s="129" t="n">
        <f aca="false">IF(AND(ISNUMBER($A116),ISNUMBER($I116),ISNUMBER($H116)),$I116,0)</f>
        <v>96</v>
      </c>
      <c r="S116" s="130" t="n">
        <f aca="false">IF(ISNUMBER($G116),$G116,0)</f>
        <v>46414</v>
      </c>
      <c r="T116" s="130" t="n">
        <f aca="false">IF(ISNUMBER($H116),$H116,S116)</f>
        <v>46423</v>
      </c>
      <c r="U116" s="131" t="n">
        <f aca="false">IF(ISNUMBER($A116),IF(Q116="Complete",1,N(INDEX('Scope Checklist'!$I:$I,$A116))),0)</f>
        <v>0</v>
      </c>
      <c r="V116" s="131" t="n">
        <f aca="false">IF(OR(NOT(ISNUMBER($A116)),S116=0),0,IF(Dashboard!$C$4&lt;S116,0,IF(Dashboard!$C$4&gt;=T116,1,NETWORKDAYS(S116,Dashboard!$C$4,$M$6:$M$11)/NETWORKDAYS(S116,T116,$M$6:$M$11))))</f>
        <v>0</v>
      </c>
      <c r="W116" s="129" t="n">
        <f aca="false">R116*U116</f>
        <v>0</v>
      </c>
      <c r="X116" s="129" t="n">
        <f aca="false">R116*V116</f>
        <v>0</v>
      </c>
      <c r="Y116" s="132" t="b">
        <f aca="false">AND(ISNUMBER($A116),ISNUMBER($I116),T116&gt;0,T116&lt;Dashboard!$C$4,U116&lt;1)</f>
        <v>0</v>
      </c>
      <c r="Z116" s="129" t="str">
        <f aca="false">IF(Y116,COUNTIF(Y$6:Y116,TRUE()),"")</f>
        <v/>
      </c>
      <c r="AA116" s="132" t="b">
        <f aca="false">AND(ISNUMBER($A116),ISNUMBER($I116),U116&lt;1,NOT(Y116),S116&gt;0,S116&lt;=WORKDAY(Dashboard!$C$4,10,$M$6:$M$11),T116&gt;=Dashboard!$C$4)</f>
        <v>0</v>
      </c>
      <c r="AB116" s="129" t="str">
        <f aca="false">IF(AA116,COUNTIF(AA$6:AA116,TRUE()),"")</f>
        <v/>
      </c>
    </row>
    <row r="117" customFormat="false" ht="15" hidden="false" customHeight="false" outlineLevel="0" collapsed="false">
      <c r="A117" s="133" t="n">
        <v>126</v>
      </c>
      <c r="B117" s="134" t="n">
        <f aca="false">IF('Scope Checklist'!A126="","-",'Scope Checklist'!A126)</f>
        <v>120</v>
      </c>
      <c r="C117" s="135" t="str">
        <f aca="false">'Scope Checklist'!D126</f>
        <v>Tile - inspect grout 100% + clean 100%</v>
      </c>
      <c r="D117" s="62" t="s">
        <v>812</v>
      </c>
      <c r="E117" s="136" t="n">
        <v>0</v>
      </c>
      <c r="F117" s="136" t="n">
        <v>1</v>
      </c>
      <c r="G117" s="64" t="n">
        <f aca="false">WORKDAY(H116,1+E117,$M$6:$M$11)</f>
        <v>46426</v>
      </c>
      <c r="H117" s="64" t="n">
        <f aca="false">WORKDAY(G117,F117-1,$M$6:$M$11)</f>
        <v>46426</v>
      </c>
      <c r="I117" s="136" t="n">
        <v>8</v>
      </c>
      <c r="J117" s="133" t="s">
        <v>184</v>
      </c>
      <c r="K117" s="62" t="s">
        <v>813</v>
      </c>
      <c r="P117" s="129" t="str">
        <f aca="false">IF(ISNUMBER($A117),INDEX('Scope Checklist'!$B:$B,$A117),"")</f>
        <v>Interior - Finishes</v>
      </c>
      <c r="Q117" s="129" t="str">
        <f aca="false">IF(ISNUMBER($A117),INDEX('Scope Checklist'!$E:$E,$A117),"")</f>
        <v>Pending</v>
      </c>
      <c r="R117" s="129" t="n">
        <f aca="false">IF(AND(ISNUMBER($A117),ISNUMBER($I117),ISNUMBER($H117)),$I117,0)</f>
        <v>8</v>
      </c>
      <c r="S117" s="130" t="n">
        <f aca="false">IF(ISNUMBER($G117),$G117,0)</f>
        <v>46426</v>
      </c>
      <c r="T117" s="130" t="n">
        <f aca="false">IF(ISNUMBER($H117),$H117,S117)</f>
        <v>46426</v>
      </c>
      <c r="U117" s="131" t="n">
        <f aca="false">IF(ISNUMBER($A117),IF(Q117="Complete",1,N(INDEX('Scope Checklist'!$I:$I,$A117))),0)</f>
        <v>0</v>
      </c>
      <c r="V117" s="131" t="n">
        <f aca="false">IF(OR(NOT(ISNUMBER($A117)),S117=0),0,IF(Dashboard!$C$4&lt;S117,0,IF(Dashboard!$C$4&gt;=T117,1,NETWORKDAYS(S117,Dashboard!$C$4,$M$6:$M$11)/NETWORKDAYS(S117,T117,$M$6:$M$11))))</f>
        <v>0</v>
      </c>
      <c r="W117" s="129" t="n">
        <f aca="false">R117*U117</f>
        <v>0</v>
      </c>
      <c r="X117" s="129" t="n">
        <f aca="false">R117*V117</f>
        <v>0</v>
      </c>
      <c r="Y117" s="132" t="b">
        <f aca="false">AND(ISNUMBER($A117),ISNUMBER($I117),T117&gt;0,T117&lt;Dashboard!$C$4,U117&lt;1)</f>
        <v>0</v>
      </c>
      <c r="Z117" s="129" t="str">
        <f aca="false">IF(Y117,COUNTIF(Y$6:Y117,TRUE()),"")</f>
        <v/>
      </c>
      <c r="AA117" s="132" t="b">
        <f aca="false">AND(ISNUMBER($A117),ISNUMBER($I117),U117&lt;1,NOT(Y117),S117&gt;0,S117&lt;=WORKDAY(Dashboard!$C$4,10,$M$6:$M$11),T117&gt;=Dashboard!$C$4)</f>
        <v>0</v>
      </c>
      <c r="AB117" s="129" t="str">
        <f aca="false">IF(AA117,COUNTIF(AA$6:AA117,TRUE()),"")</f>
        <v/>
      </c>
    </row>
    <row r="118" customFormat="false" ht="23.85" hidden="false" customHeight="false" outlineLevel="0" collapsed="false">
      <c r="A118" s="133" t="n">
        <v>127</v>
      </c>
      <c r="B118" s="134" t="str">
        <f aca="false">IF('Scope Checklist'!A127="","-",'Scope Checklist'!A127)</f>
        <v>N15</v>
      </c>
      <c r="C118" s="135" t="str">
        <f aca="false">'Scope Checklist'!D127</f>
        <v>Trim carpentry - door jambs, prehung doors, casings, baseboards (new)</v>
      </c>
      <c r="D118" s="62" t="s">
        <v>812</v>
      </c>
      <c r="E118" s="136" t="n">
        <v>0</v>
      </c>
      <c r="F118" s="136" t="n">
        <v>5</v>
      </c>
      <c r="G118" s="64" t="n">
        <f aca="false">WORKDAY(H116,1+E118,$M$6:$M$11)</f>
        <v>46426</v>
      </c>
      <c r="H118" s="64" t="n">
        <f aca="false">WORKDAY(G118,F118-1,$M$6:$M$11)</f>
        <v>46430</v>
      </c>
      <c r="I118" s="136" t="n">
        <v>60</v>
      </c>
      <c r="J118" s="133" t="s">
        <v>184</v>
      </c>
      <c r="K118" s="62" t="s">
        <v>814</v>
      </c>
      <c r="P118" s="129" t="str">
        <f aca="false">IF(ISNUMBER($A118),INDEX('Scope Checklist'!$B:$B,$A118),"")</f>
        <v>Interior - Finishes</v>
      </c>
      <c r="Q118" s="129" t="str">
        <f aca="false">IF(ISNUMBER($A118),INDEX('Scope Checklist'!$E:$E,$A118),"")</f>
        <v>Pending</v>
      </c>
      <c r="R118" s="129" t="n">
        <f aca="false">IF(AND(ISNUMBER($A118),ISNUMBER($I118),ISNUMBER($H118)),$I118,0)</f>
        <v>60</v>
      </c>
      <c r="S118" s="130" t="n">
        <f aca="false">IF(ISNUMBER($G118),$G118,0)</f>
        <v>46426</v>
      </c>
      <c r="T118" s="130" t="n">
        <f aca="false">IF(ISNUMBER($H118),$H118,S118)</f>
        <v>46430</v>
      </c>
      <c r="U118" s="131" t="n">
        <f aca="false">IF(ISNUMBER($A118),IF(Q118="Complete",1,N(INDEX('Scope Checklist'!$I:$I,$A118))),0)</f>
        <v>0</v>
      </c>
      <c r="V118" s="131" t="n">
        <f aca="false">IF(OR(NOT(ISNUMBER($A118)),S118=0),0,IF(Dashboard!$C$4&lt;S118,0,IF(Dashboard!$C$4&gt;=T118,1,NETWORKDAYS(S118,Dashboard!$C$4,$M$6:$M$11)/NETWORKDAYS(S118,T118,$M$6:$M$11))))</f>
        <v>0</v>
      </c>
      <c r="W118" s="129" t="n">
        <f aca="false">R118*U118</f>
        <v>0</v>
      </c>
      <c r="X118" s="129" t="n">
        <f aca="false">R118*V118</f>
        <v>0</v>
      </c>
      <c r="Y118" s="132" t="b">
        <f aca="false">AND(ISNUMBER($A118),ISNUMBER($I118),T118&gt;0,T118&lt;Dashboard!$C$4,U118&lt;1)</f>
        <v>0</v>
      </c>
      <c r="Z118" s="129" t="str">
        <f aca="false">IF(Y118,COUNTIF(Y$6:Y118,TRUE()),"")</f>
        <v/>
      </c>
      <c r="AA118" s="132" t="b">
        <f aca="false">AND(ISNUMBER($A118),ISNUMBER($I118),U118&lt;1,NOT(Y118),S118&gt;0,S118&lt;=WORKDAY(Dashboard!$C$4,10,$M$6:$M$11),T118&gt;=Dashboard!$C$4)</f>
        <v>0</v>
      </c>
      <c r="AB118" s="129" t="str">
        <f aca="false">IF(AA118,COUNTIF(AA$6:AA118,TRUE()),"")</f>
        <v/>
      </c>
    </row>
    <row r="119" customFormat="false" ht="15" hidden="false" customHeight="false" outlineLevel="0" collapsed="false">
      <c r="A119" s="133" t="n">
        <v>128</v>
      </c>
      <c r="B119" s="134" t="n">
        <f aca="false">IF('Scope Checklist'!A128="","-",'Scope Checklist'!A128)</f>
        <v>128</v>
      </c>
      <c r="C119" s="135" t="str">
        <f aca="false">'Scope Checklist'!D128</f>
        <v>Interior doors and hardware</v>
      </c>
      <c r="D119" s="62" t="s">
        <v>815</v>
      </c>
      <c r="E119" s="136" t="n">
        <v>1</v>
      </c>
      <c r="F119" s="136" t="n">
        <v>3</v>
      </c>
      <c r="G119" s="64" t="n">
        <f aca="false">WORKDAY(G118,E119,$M$6:$M$11)</f>
        <v>46427</v>
      </c>
      <c r="H119" s="64" t="n">
        <f aca="false">WORKDAY(G119,F119-1,$M$6:$M$11)</f>
        <v>46429</v>
      </c>
      <c r="I119" s="136" t="n">
        <v>24</v>
      </c>
      <c r="J119" s="133" t="s">
        <v>215</v>
      </c>
      <c r="K119" s="62" t="s">
        <v>816</v>
      </c>
      <c r="P119" s="129" t="str">
        <f aca="false">IF(ISNUMBER($A119),INDEX('Scope Checklist'!$B:$B,$A119),"")</f>
        <v>Interior - Finishes</v>
      </c>
      <c r="Q119" s="129" t="str">
        <f aca="false">IF(ISNUMBER($A119),INDEX('Scope Checklist'!$E:$E,$A119),"")</f>
        <v>Pending</v>
      </c>
      <c r="R119" s="129" t="n">
        <f aca="false">IF(AND(ISNUMBER($A119),ISNUMBER($I119),ISNUMBER($H119)),$I119,0)</f>
        <v>24</v>
      </c>
      <c r="S119" s="130" t="n">
        <f aca="false">IF(ISNUMBER($G119),$G119,0)</f>
        <v>46427</v>
      </c>
      <c r="T119" s="130" t="n">
        <f aca="false">IF(ISNUMBER($H119),$H119,S119)</f>
        <v>46429</v>
      </c>
      <c r="U119" s="131" t="n">
        <f aca="false">IF(ISNUMBER($A119),IF(Q119="Complete",1,N(INDEX('Scope Checklist'!$I:$I,$A119))),0)</f>
        <v>0</v>
      </c>
      <c r="V119" s="131" t="n">
        <f aca="false">IF(OR(NOT(ISNUMBER($A119)),S119=0),0,IF(Dashboard!$C$4&lt;S119,0,IF(Dashboard!$C$4&gt;=T119,1,NETWORKDAYS(S119,Dashboard!$C$4,$M$6:$M$11)/NETWORKDAYS(S119,T119,$M$6:$M$11))))</f>
        <v>0</v>
      </c>
      <c r="W119" s="129" t="n">
        <f aca="false">R119*U119</f>
        <v>0</v>
      </c>
      <c r="X119" s="129" t="n">
        <f aca="false">R119*V119</f>
        <v>0</v>
      </c>
      <c r="Y119" s="132" t="b">
        <f aca="false">AND(ISNUMBER($A119),ISNUMBER($I119),T119&gt;0,T119&lt;Dashboard!$C$4,U119&lt;1)</f>
        <v>0</v>
      </c>
      <c r="Z119" s="129" t="str">
        <f aca="false">IF(Y119,COUNTIF(Y$6:Y119,TRUE()),"")</f>
        <v/>
      </c>
      <c r="AA119" s="132" t="b">
        <f aca="false">AND(ISNUMBER($A119),ISNUMBER($I119),U119&lt;1,NOT(Y119),S119&gt;0,S119&lt;=WORKDAY(Dashboard!$C$4,10,$M$6:$M$11),T119&gt;=Dashboard!$C$4)</f>
        <v>0</v>
      </c>
      <c r="AB119" s="129" t="str">
        <f aca="false">IF(AA119,COUNTIF(AA$6:AA119,TRUE()),"")</f>
        <v/>
      </c>
    </row>
    <row r="120" customFormat="false" ht="15" hidden="false" customHeight="false" outlineLevel="0" collapsed="false">
      <c r="A120" s="133" t="n">
        <v>129</v>
      </c>
      <c r="B120" s="134" t="n">
        <f aca="false">IF('Scope Checklist'!A129="","-",'Scope Checklist'!A129)</f>
        <v>126</v>
      </c>
      <c r="C120" s="135" t="str">
        <f aca="false">'Scope Checklist'!D129</f>
        <v>Interior paint - walls, ceilings</v>
      </c>
      <c r="D120" s="62" t="s">
        <v>817</v>
      </c>
      <c r="E120" s="136" t="n">
        <v>0</v>
      </c>
      <c r="F120" s="136" t="n">
        <v>5</v>
      </c>
      <c r="G120" s="64" t="n">
        <f aca="false">WORKDAY(H118,1+E120,$M$6:$M$11)</f>
        <v>46433</v>
      </c>
      <c r="H120" s="64" t="n">
        <f aca="false">WORKDAY(G120,F120-1,$M$6:$M$11)</f>
        <v>46437</v>
      </c>
      <c r="I120" s="136" t="n">
        <v>80</v>
      </c>
      <c r="J120" s="133" t="s">
        <v>215</v>
      </c>
      <c r="K120" s="62" t="s">
        <v>818</v>
      </c>
      <c r="P120" s="129" t="str">
        <f aca="false">IF(ISNUMBER($A120),INDEX('Scope Checklist'!$B:$B,$A120),"")</f>
        <v>Interior - Finishes</v>
      </c>
      <c r="Q120" s="129" t="str">
        <f aca="false">IF(ISNUMBER($A120),INDEX('Scope Checklist'!$E:$E,$A120),"")</f>
        <v>Pending</v>
      </c>
      <c r="R120" s="129" t="n">
        <f aca="false">IF(AND(ISNUMBER($A120),ISNUMBER($I120),ISNUMBER($H120)),$I120,0)</f>
        <v>80</v>
      </c>
      <c r="S120" s="130" t="n">
        <f aca="false">IF(ISNUMBER($G120),$G120,0)</f>
        <v>46433</v>
      </c>
      <c r="T120" s="130" t="n">
        <f aca="false">IF(ISNUMBER($H120),$H120,S120)</f>
        <v>46437</v>
      </c>
      <c r="U120" s="131" t="n">
        <f aca="false">IF(ISNUMBER($A120),IF(Q120="Complete",1,N(INDEX('Scope Checklist'!$I:$I,$A120))),0)</f>
        <v>0</v>
      </c>
      <c r="V120" s="131" t="n">
        <f aca="false">IF(OR(NOT(ISNUMBER($A120)),S120=0),0,IF(Dashboard!$C$4&lt;S120,0,IF(Dashboard!$C$4&gt;=T120,1,NETWORKDAYS(S120,Dashboard!$C$4,$M$6:$M$11)/NETWORKDAYS(S120,T120,$M$6:$M$11))))</f>
        <v>0</v>
      </c>
      <c r="W120" s="129" t="n">
        <f aca="false">R120*U120</f>
        <v>0</v>
      </c>
      <c r="X120" s="129" t="n">
        <f aca="false">R120*V120</f>
        <v>0</v>
      </c>
      <c r="Y120" s="132" t="b">
        <f aca="false">AND(ISNUMBER($A120),ISNUMBER($I120),T120&gt;0,T120&lt;Dashboard!$C$4,U120&lt;1)</f>
        <v>0</v>
      </c>
      <c r="Z120" s="129" t="str">
        <f aca="false">IF(Y120,COUNTIF(Y$6:Y120,TRUE()),"")</f>
        <v/>
      </c>
      <c r="AA120" s="132" t="b">
        <f aca="false">AND(ISNUMBER($A120),ISNUMBER($I120),U120&lt;1,NOT(Y120),S120&gt;0,S120&lt;=WORKDAY(Dashboard!$C$4,10,$M$6:$M$11),T120&gt;=Dashboard!$C$4)</f>
        <v>0</v>
      </c>
      <c r="AB120" s="129" t="str">
        <f aca="false">IF(AA120,COUNTIF(AA$6:AA120,TRUE()),"")</f>
        <v/>
      </c>
    </row>
    <row r="121" customFormat="false" ht="15" hidden="false" customHeight="false" outlineLevel="0" collapsed="false">
      <c r="A121" s="133" t="n">
        <v>130</v>
      </c>
      <c r="B121" s="134" t="n">
        <f aca="false">IF('Scope Checklist'!A130="","-",'Scope Checklist'!A130)</f>
        <v>123</v>
      </c>
      <c r="C121" s="135" t="str">
        <f aca="false">'Scope Checklist'!D130</f>
        <v>Baseboards - inspect 100%, paint + caulk</v>
      </c>
      <c r="D121" s="62" t="s">
        <v>819</v>
      </c>
      <c r="E121" s="136" t="n">
        <v>2</v>
      </c>
      <c r="F121" s="136" t="n">
        <v>3</v>
      </c>
      <c r="G121" s="64" t="n">
        <f aca="false">WORKDAY(G120,E121,$M$6:$M$11)</f>
        <v>46435</v>
      </c>
      <c r="H121" s="64" t="n">
        <f aca="false">WORKDAY(G121,F121-1,$M$6:$M$11)</f>
        <v>46437</v>
      </c>
      <c r="I121" s="136" t="n">
        <v>12</v>
      </c>
      <c r="J121" s="133" t="s">
        <v>215</v>
      </c>
      <c r="K121" s="62" t="s">
        <v>820</v>
      </c>
      <c r="P121" s="129" t="str">
        <f aca="false">IF(ISNUMBER($A121),INDEX('Scope Checklist'!$B:$B,$A121),"")</f>
        <v>Interior - Finishes</v>
      </c>
      <c r="Q121" s="129" t="str">
        <f aca="false">IF(ISNUMBER($A121),INDEX('Scope Checklist'!$E:$E,$A121),"")</f>
        <v>Pending</v>
      </c>
      <c r="R121" s="129" t="n">
        <f aca="false">IF(AND(ISNUMBER($A121),ISNUMBER($I121),ISNUMBER($H121)),$I121,0)</f>
        <v>12</v>
      </c>
      <c r="S121" s="130" t="n">
        <f aca="false">IF(ISNUMBER($G121),$G121,0)</f>
        <v>46435</v>
      </c>
      <c r="T121" s="130" t="n">
        <f aca="false">IF(ISNUMBER($H121),$H121,S121)</f>
        <v>46437</v>
      </c>
      <c r="U121" s="131" t="n">
        <f aca="false">IF(ISNUMBER($A121),IF(Q121="Complete",1,N(INDEX('Scope Checklist'!$I:$I,$A121))),0)</f>
        <v>0</v>
      </c>
      <c r="V121" s="131" t="n">
        <f aca="false">IF(OR(NOT(ISNUMBER($A121)),S121=0),0,IF(Dashboard!$C$4&lt;S121,0,IF(Dashboard!$C$4&gt;=T121,1,NETWORKDAYS(S121,Dashboard!$C$4,$M$6:$M$11)/NETWORKDAYS(S121,T121,$M$6:$M$11))))</f>
        <v>0</v>
      </c>
      <c r="W121" s="129" t="n">
        <f aca="false">R121*U121</f>
        <v>0</v>
      </c>
      <c r="X121" s="129" t="n">
        <f aca="false">R121*V121</f>
        <v>0</v>
      </c>
      <c r="Y121" s="132" t="b">
        <f aca="false">AND(ISNUMBER($A121),ISNUMBER($I121),T121&gt;0,T121&lt;Dashboard!$C$4,U121&lt;1)</f>
        <v>0</v>
      </c>
      <c r="Z121" s="129" t="str">
        <f aca="false">IF(Y121,COUNTIF(Y$6:Y121,TRUE()),"")</f>
        <v/>
      </c>
      <c r="AA121" s="132" t="b">
        <f aca="false">AND(ISNUMBER($A121),ISNUMBER($I121),U121&lt;1,NOT(Y121),S121&gt;0,S121&lt;=WORKDAY(Dashboard!$C$4,10,$M$6:$M$11),T121&gt;=Dashboard!$C$4)</f>
        <v>0</v>
      </c>
      <c r="AB121" s="129" t="str">
        <f aca="false">IF(AA121,COUNTIF(AA$6:AA121,TRUE()),"")</f>
        <v/>
      </c>
    </row>
    <row r="122" customFormat="false" ht="15" hidden="false" customHeight="false" outlineLevel="0" collapsed="false">
      <c r="A122" s="133" t="n">
        <v>131</v>
      </c>
      <c r="B122" s="134" t="n">
        <f aca="false">IF('Scope Checklist'!A131="","-",'Scope Checklist'!A131)</f>
        <v>124</v>
      </c>
      <c r="C122" s="135" t="str">
        <f aca="false">'Scope Checklist'!D131</f>
        <v>Door trim / casings - inspect 100%, paint + caulk</v>
      </c>
      <c r="D122" s="62" t="s">
        <v>819</v>
      </c>
      <c r="E122" s="136" t="n">
        <v>2</v>
      </c>
      <c r="F122" s="136" t="n">
        <v>3</v>
      </c>
      <c r="G122" s="64" t="n">
        <f aca="false">WORKDAY(G120,E122,$M$6:$M$11)</f>
        <v>46435</v>
      </c>
      <c r="H122" s="64" t="n">
        <f aca="false">WORKDAY(G122,F122-1,$M$6:$M$11)</f>
        <v>46437</v>
      </c>
      <c r="I122" s="136" t="n">
        <v>10</v>
      </c>
      <c r="J122" s="133" t="s">
        <v>215</v>
      </c>
      <c r="K122" s="62" t="s">
        <v>820</v>
      </c>
      <c r="P122" s="129" t="str">
        <f aca="false">IF(ISNUMBER($A122),INDEX('Scope Checklist'!$B:$B,$A122),"")</f>
        <v>Interior - Finishes</v>
      </c>
      <c r="Q122" s="129" t="str">
        <f aca="false">IF(ISNUMBER($A122),INDEX('Scope Checklist'!$E:$E,$A122),"")</f>
        <v>Pending</v>
      </c>
      <c r="R122" s="129" t="n">
        <f aca="false">IF(AND(ISNUMBER($A122),ISNUMBER($I122),ISNUMBER($H122)),$I122,0)</f>
        <v>10</v>
      </c>
      <c r="S122" s="130" t="n">
        <f aca="false">IF(ISNUMBER($G122),$G122,0)</f>
        <v>46435</v>
      </c>
      <c r="T122" s="130" t="n">
        <f aca="false">IF(ISNUMBER($H122),$H122,S122)</f>
        <v>46437</v>
      </c>
      <c r="U122" s="131" t="n">
        <f aca="false">IF(ISNUMBER($A122),IF(Q122="Complete",1,N(INDEX('Scope Checklist'!$I:$I,$A122))),0)</f>
        <v>0</v>
      </c>
      <c r="V122" s="131" t="n">
        <f aca="false">IF(OR(NOT(ISNUMBER($A122)),S122=0),0,IF(Dashboard!$C$4&lt;S122,0,IF(Dashboard!$C$4&gt;=T122,1,NETWORKDAYS(S122,Dashboard!$C$4,$M$6:$M$11)/NETWORKDAYS(S122,T122,$M$6:$M$11))))</f>
        <v>0</v>
      </c>
      <c r="W122" s="129" t="n">
        <f aca="false">R122*U122</f>
        <v>0</v>
      </c>
      <c r="X122" s="129" t="n">
        <f aca="false">R122*V122</f>
        <v>0</v>
      </c>
      <c r="Y122" s="132" t="b">
        <f aca="false">AND(ISNUMBER($A122),ISNUMBER($I122),T122&gt;0,T122&lt;Dashboard!$C$4,U122&lt;1)</f>
        <v>0</v>
      </c>
      <c r="Z122" s="129" t="str">
        <f aca="false">IF(Y122,COUNTIF(Y$6:Y122,TRUE()),"")</f>
        <v/>
      </c>
      <c r="AA122" s="132" t="b">
        <f aca="false">AND(ISNUMBER($A122),ISNUMBER($I122),U122&lt;1,NOT(Y122),S122&gt;0,S122&lt;=WORKDAY(Dashboard!$C$4,10,$M$6:$M$11),T122&gt;=Dashboard!$C$4)</f>
        <v>0</v>
      </c>
      <c r="AB122" s="129" t="str">
        <f aca="false">IF(AA122,COUNTIF(AA$6:AA122,TRUE()),"")</f>
        <v/>
      </c>
    </row>
    <row r="123" customFormat="false" ht="15" hidden="false" customHeight="false" outlineLevel="0" collapsed="false">
      <c r="A123" s="133" t="n">
        <v>132</v>
      </c>
      <c r="B123" s="134" t="n">
        <f aca="false">IF('Scope Checklist'!A132="","-",'Scope Checklist'!A132)</f>
        <v>125</v>
      </c>
      <c r="C123" s="135" t="str">
        <f aca="false">'Scope Checklist'!D132</f>
        <v>Crown molding - inspect 100%, paint + caulk</v>
      </c>
      <c r="D123" s="62" t="s">
        <v>819</v>
      </c>
      <c r="E123" s="136" t="n">
        <v>2</v>
      </c>
      <c r="F123" s="136" t="n">
        <v>2</v>
      </c>
      <c r="G123" s="64" t="n">
        <f aca="false">WORKDAY(G120,E123,$M$6:$M$11)</f>
        <v>46435</v>
      </c>
      <c r="H123" s="64" t="n">
        <f aca="false">WORKDAY(G123,F123-1,$M$6:$M$11)</f>
        <v>46436</v>
      </c>
      <c r="I123" s="136" t="n">
        <v>8</v>
      </c>
      <c r="J123" s="133" t="s">
        <v>215</v>
      </c>
      <c r="K123" s="62" t="s">
        <v>821</v>
      </c>
      <c r="P123" s="129" t="str">
        <f aca="false">IF(ISNUMBER($A123),INDEX('Scope Checklist'!$B:$B,$A123),"")</f>
        <v>Interior - Finishes</v>
      </c>
      <c r="Q123" s="129" t="str">
        <f aca="false">IF(ISNUMBER($A123),INDEX('Scope Checklist'!$E:$E,$A123),"")</f>
        <v>Pending</v>
      </c>
      <c r="R123" s="129" t="n">
        <f aca="false">IF(AND(ISNUMBER($A123),ISNUMBER($I123),ISNUMBER($H123)),$I123,0)</f>
        <v>8</v>
      </c>
      <c r="S123" s="130" t="n">
        <f aca="false">IF(ISNUMBER($G123),$G123,0)</f>
        <v>46435</v>
      </c>
      <c r="T123" s="130" t="n">
        <f aca="false">IF(ISNUMBER($H123),$H123,S123)</f>
        <v>46436</v>
      </c>
      <c r="U123" s="131" t="n">
        <f aca="false">IF(ISNUMBER($A123),IF(Q123="Complete",1,N(INDEX('Scope Checklist'!$I:$I,$A123))),0)</f>
        <v>0</v>
      </c>
      <c r="V123" s="131" t="n">
        <f aca="false">IF(OR(NOT(ISNUMBER($A123)),S123=0),0,IF(Dashboard!$C$4&lt;S123,0,IF(Dashboard!$C$4&gt;=T123,1,NETWORKDAYS(S123,Dashboard!$C$4,$M$6:$M$11)/NETWORKDAYS(S123,T123,$M$6:$M$11))))</f>
        <v>0</v>
      </c>
      <c r="W123" s="129" t="n">
        <f aca="false">R123*U123</f>
        <v>0</v>
      </c>
      <c r="X123" s="129" t="n">
        <f aca="false">R123*V123</f>
        <v>0</v>
      </c>
      <c r="Y123" s="132" t="b">
        <f aca="false">AND(ISNUMBER($A123),ISNUMBER($I123),T123&gt;0,T123&lt;Dashboard!$C$4,U123&lt;1)</f>
        <v>0</v>
      </c>
      <c r="Z123" s="129" t="str">
        <f aca="false">IF(Y123,COUNTIF(Y$6:Y123,TRUE()),"")</f>
        <v/>
      </c>
      <c r="AA123" s="132" t="b">
        <f aca="false">AND(ISNUMBER($A123),ISNUMBER($I123),U123&lt;1,NOT(Y123),S123&gt;0,S123&lt;=WORKDAY(Dashboard!$C$4,10,$M$6:$M$11),T123&gt;=Dashboard!$C$4)</f>
        <v>0</v>
      </c>
      <c r="AB123" s="129" t="str">
        <f aca="false">IF(AA123,COUNTIF(AA$6:AA123,TRUE()),"")</f>
        <v/>
      </c>
    </row>
    <row r="124" customFormat="false" ht="23.85" hidden="false" customHeight="false" outlineLevel="0" collapsed="false">
      <c r="A124" s="133" t="n">
        <v>133</v>
      </c>
      <c r="B124" s="134" t="n">
        <f aca="false">IF('Scope Checklist'!A133="","-",'Scope Checklist'!A133)</f>
        <v>121</v>
      </c>
      <c r="C124" s="135" t="str">
        <f aca="false">'Scope Checklist'!D133</f>
        <v>LVP in bedrooms</v>
      </c>
      <c r="D124" s="62" t="s">
        <v>822</v>
      </c>
      <c r="E124" s="136" t="n">
        <v>0</v>
      </c>
      <c r="F124" s="136" t="n">
        <v>3</v>
      </c>
      <c r="G124" s="64" t="n">
        <f aca="false">WORKDAY(H120,1+E124,$M$6:$M$11)</f>
        <v>46440</v>
      </c>
      <c r="H124" s="64" t="n">
        <f aca="false">WORKDAY(G124,F124-1,$M$6:$M$11)</f>
        <v>46442</v>
      </c>
      <c r="I124" s="136" t="n">
        <v>24</v>
      </c>
      <c r="J124" s="133" t="s">
        <v>184</v>
      </c>
      <c r="K124" s="62" t="s">
        <v>823</v>
      </c>
      <c r="P124" s="129" t="str">
        <f aca="false">IF(ISNUMBER($A124),INDEX('Scope Checklist'!$B:$B,$A124),"")</f>
        <v>Interior - Finishes</v>
      </c>
      <c r="Q124" s="129" t="str">
        <f aca="false">IF(ISNUMBER($A124),INDEX('Scope Checklist'!$E:$E,$A124),"")</f>
        <v>Pending</v>
      </c>
      <c r="R124" s="129" t="n">
        <f aca="false">IF(AND(ISNUMBER($A124),ISNUMBER($I124),ISNUMBER($H124)),$I124,0)</f>
        <v>24</v>
      </c>
      <c r="S124" s="130" t="n">
        <f aca="false">IF(ISNUMBER($G124),$G124,0)</f>
        <v>46440</v>
      </c>
      <c r="T124" s="130" t="n">
        <f aca="false">IF(ISNUMBER($H124),$H124,S124)</f>
        <v>46442</v>
      </c>
      <c r="U124" s="131" t="n">
        <f aca="false">IF(ISNUMBER($A124),IF(Q124="Complete",1,N(INDEX('Scope Checklist'!$I:$I,$A124))),0)</f>
        <v>0</v>
      </c>
      <c r="V124" s="131" t="n">
        <f aca="false">IF(OR(NOT(ISNUMBER($A124)),S124=0),0,IF(Dashboard!$C$4&lt;S124,0,IF(Dashboard!$C$4&gt;=T124,1,NETWORKDAYS(S124,Dashboard!$C$4,$M$6:$M$11)/NETWORKDAYS(S124,T124,$M$6:$M$11))))</f>
        <v>0</v>
      </c>
      <c r="W124" s="129" t="n">
        <f aca="false">R124*U124</f>
        <v>0</v>
      </c>
      <c r="X124" s="129" t="n">
        <f aca="false">R124*V124</f>
        <v>0</v>
      </c>
      <c r="Y124" s="132" t="b">
        <f aca="false">AND(ISNUMBER($A124),ISNUMBER($I124),T124&gt;0,T124&lt;Dashboard!$C$4,U124&lt;1)</f>
        <v>0</v>
      </c>
      <c r="Z124" s="129" t="str">
        <f aca="false">IF(Y124,COUNTIF(Y$6:Y124,TRUE()),"")</f>
        <v/>
      </c>
      <c r="AA124" s="132" t="b">
        <f aca="false">AND(ISNUMBER($A124),ISNUMBER($I124),U124&lt;1,NOT(Y124),S124&gt;0,S124&lt;=WORKDAY(Dashboard!$C$4,10,$M$6:$M$11),T124&gt;=Dashboard!$C$4)</f>
        <v>0</v>
      </c>
      <c r="AB124" s="129" t="str">
        <f aca="false">IF(AA124,COUNTIF(AA$6:AA124,TRUE()),"")</f>
        <v/>
      </c>
    </row>
    <row r="125" customFormat="false" ht="15" hidden="false" customHeight="false" outlineLevel="0" collapsed="false">
      <c r="A125" s="133" t="n">
        <v>134</v>
      </c>
      <c r="B125" s="134" t="n">
        <f aca="false">IF('Scope Checklist'!A134="","-",'Scope Checklist'!A134)</f>
        <v>122</v>
      </c>
      <c r="C125" s="135" t="str">
        <f aca="false">'Scope Checklist'!D134</f>
        <v>Transitions - tile to LVP between rooms</v>
      </c>
      <c r="D125" s="62" t="s">
        <v>824</v>
      </c>
      <c r="E125" s="136" t="n">
        <v>0</v>
      </c>
      <c r="F125" s="136" t="n">
        <v>1</v>
      </c>
      <c r="G125" s="64" t="n">
        <f aca="false">WORKDAY(H124,1+E125,$M$6:$M$11)</f>
        <v>46443</v>
      </c>
      <c r="H125" s="64" t="n">
        <f aca="false">WORKDAY(G125,F125-1,$M$6:$M$11)</f>
        <v>46443</v>
      </c>
      <c r="I125" s="136" t="n">
        <v>4</v>
      </c>
      <c r="J125" s="133" t="s">
        <v>369</v>
      </c>
      <c r="K125" s="62" t="s">
        <v>722</v>
      </c>
      <c r="P125" s="129" t="str">
        <f aca="false">IF(ISNUMBER($A125),INDEX('Scope Checklist'!$B:$B,$A125),"")</f>
        <v>Interior - Finishes</v>
      </c>
      <c r="Q125" s="129" t="str">
        <f aca="false">IF(ISNUMBER($A125),INDEX('Scope Checklist'!$E:$E,$A125),"")</f>
        <v>Pending</v>
      </c>
      <c r="R125" s="129" t="n">
        <f aca="false">IF(AND(ISNUMBER($A125),ISNUMBER($I125),ISNUMBER($H125)),$I125,0)</f>
        <v>4</v>
      </c>
      <c r="S125" s="130" t="n">
        <f aca="false">IF(ISNUMBER($G125),$G125,0)</f>
        <v>46443</v>
      </c>
      <c r="T125" s="130" t="n">
        <f aca="false">IF(ISNUMBER($H125),$H125,S125)</f>
        <v>46443</v>
      </c>
      <c r="U125" s="131" t="n">
        <f aca="false">IF(ISNUMBER($A125),IF(Q125="Complete",1,N(INDEX('Scope Checklist'!$I:$I,$A125))),0)</f>
        <v>0</v>
      </c>
      <c r="V125" s="131" t="n">
        <f aca="false">IF(OR(NOT(ISNUMBER($A125)),S125=0),0,IF(Dashboard!$C$4&lt;S125,0,IF(Dashboard!$C$4&gt;=T125,1,NETWORKDAYS(S125,Dashboard!$C$4,$M$6:$M$11)/NETWORKDAYS(S125,T125,$M$6:$M$11))))</f>
        <v>0</v>
      </c>
      <c r="W125" s="129" t="n">
        <f aca="false">R125*U125</f>
        <v>0</v>
      </c>
      <c r="X125" s="129" t="n">
        <f aca="false">R125*V125</f>
        <v>0</v>
      </c>
      <c r="Y125" s="132" t="b">
        <f aca="false">AND(ISNUMBER($A125),ISNUMBER($I125),T125&gt;0,T125&lt;Dashboard!$C$4,U125&lt;1)</f>
        <v>0</v>
      </c>
      <c r="Z125" s="129" t="str">
        <f aca="false">IF(Y125,COUNTIF(Y$6:Y125,TRUE()),"")</f>
        <v/>
      </c>
      <c r="AA125" s="132" t="b">
        <f aca="false">AND(ISNUMBER($A125),ISNUMBER($I125),U125&lt;1,NOT(Y125),S125&gt;0,S125&lt;=WORKDAY(Dashboard!$C$4,10,$M$6:$M$11),T125&gt;=Dashboard!$C$4)</f>
        <v>0</v>
      </c>
      <c r="AB125" s="129" t="str">
        <f aca="false">IF(AA125,COUNTIF(AA$6:AA125,TRUE()),"")</f>
        <v/>
      </c>
    </row>
    <row r="126" customFormat="false" ht="15" hidden="false" customHeight="false" outlineLevel="0" collapsed="false">
      <c r="A126" s="133" t="n">
        <v>135</v>
      </c>
      <c r="B126" s="134" t="n">
        <f aca="false">IF('Scope Checklist'!A135="","-",'Scope Checklist'!A135)</f>
        <v>130</v>
      </c>
      <c r="C126" s="135" t="str">
        <f aca="false">'Scope Checklist'!D135</f>
        <v>Master closet - IKEA</v>
      </c>
      <c r="D126" s="62" t="s">
        <v>825</v>
      </c>
      <c r="E126" s="136" t="n">
        <v>0</v>
      </c>
      <c r="F126" s="136" t="n">
        <v>3</v>
      </c>
      <c r="G126" s="64" t="n">
        <f aca="false">WORKDAY(H124,1+E126,$M$6:$M$11)</f>
        <v>46443</v>
      </c>
      <c r="H126" s="64" t="n">
        <f aca="false">WORKDAY(G126,F126-1,$M$6:$M$11)</f>
        <v>46447</v>
      </c>
      <c r="I126" s="136" t="n">
        <v>20</v>
      </c>
      <c r="J126" s="133" t="s">
        <v>164</v>
      </c>
      <c r="K126" s="62" t="s">
        <v>826</v>
      </c>
      <c r="P126" s="129" t="str">
        <f aca="false">IF(ISNUMBER($A126),INDEX('Scope Checklist'!$B:$B,$A126),"")</f>
        <v>Interior - Finishes</v>
      </c>
      <c r="Q126" s="129" t="str">
        <f aca="false">IF(ISNUMBER($A126),INDEX('Scope Checklist'!$E:$E,$A126),"")</f>
        <v>Pending</v>
      </c>
      <c r="R126" s="129" t="n">
        <f aca="false">IF(AND(ISNUMBER($A126),ISNUMBER($I126),ISNUMBER($H126)),$I126,0)</f>
        <v>20</v>
      </c>
      <c r="S126" s="130" t="n">
        <f aca="false">IF(ISNUMBER($G126),$G126,0)</f>
        <v>46443</v>
      </c>
      <c r="T126" s="130" t="n">
        <f aca="false">IF(ISNUMBER($H126),$H126,S126)</f>
        <v>46447</v>
      </c>
      <c r="U126" s="131" t="n">
        <f aca="false">IF(ISNUMBER($A126),IF(Q126="Complete",1,N(INDEX('Scope Checklist'!$I:$I,$A126))),0)</f>
        <v>0</v>
      </c>
      <c r="V126" s="131" t="n">
        <f aca="false">IF(OR(NOT(ISNUMBER($A126)),S126=0),0,IF(Dashboard!$C$4&lt;S126,0,IF(Dashboard!$C$4&gt;=T126,1,NETWORKDAYS(S126,Dashboard!$C$4,$M$6:$M$11)/NETWORKDAYS(S126,T126,$M$6:$M$11))))</f>
        <v>0</v>
      </c>
      <c r="W126" s="129" t="n">
        <f aca="false">R126*U126</f>
        <v>0</v>
      </c>
      <c r="X126" s="129" t="n">
        <f aca="false">R126*V126</f>
        <v>0</v>
      </c>
      <c r="Y126" s="132" t="b">
        <f aca="false">AND(ISNUMBER($A126),ISNUMBER($I126),T126&gt;0,T126&lt;Dashboard!$C$4,U126&lt;1)</f>
        <v>0</v>
      </c>
      <c r="Z126" s="129" t="str">
        <f aca="false">IF(Y126,COUNTIF(Y$6:Y126,TRUE()),"")</f>
        <v/>
      </c>
      <c r="AA126" s="132" t="b">
        <f aca="false">AND(ISNUMBER($A126),ISNUMBER($I126),U126&lt;1,NOT(Y126),S126&gt;0,S126&lt;=WORKDAY(Dashboard!$C$4,10,$M$6:$M$11),T126&gt;=Dashboard!$C$4)</f>
        <v>0</v>
      </c>
      <c r="AB126" s="129" t="str">
        <f aca="false">IF(AA126,COUNTIF(AA$6:AA126,TRUE()),"")</f>
        <v/>
      </c>
    </row>
    <row r="127" customFormat="false" ht="15" hidden="false" customHeight="false" outlineLevel="0" collapsed="false">
      <c r="A127" s="133" t="n">
        <v>136</v>
      </c>
      <c r="B127" s="134" t="n">
        <f aca="false">IF('Scope Checklist'!A136="","-",'Scope Checklist'!A136)</f>
        <v>131</v>
      </c>
      <c r="C127" s="135" t="str">
        <f aca="false">'Scope Checklist'!D136</f>
        <v>Second closet - IKEA</v>
      </c>
      <c r="D127" s="62" t="s">
        <v>827</v>
      </c>
      <c r="E127" s="136" t="n">
        <v>1</v>
      </c>
      <c r="F127" s="136" t="n">
        <v>2</v>
      </c>
      <c r="G127" s="64" t="n">
        <f aca="false">WORKDAY(G126,E127,$M$6:$M$11)</f>
        <v>46444</v>
      </c>
      <c r="H127" s="64" t="n">
        <f aca="false">WORKDAY(G127,F127-1,$M$6:$M$11)</f>
        <v>46447</v>
      </c>
      <c r="I127" s="136" t="n">
        <v>12</v>
      </c>
      <c r="J127" s="133" t="s">
        <v>164</v>
      </c>
      <c r="K127" s="62" t="s">
        <v>722</v>
      </c>
      <c r="P127" s="129" t="str">
        <f aca="false">IF(ISNUMBER($A127),INDEX('Scope Checklist'!$B:$B,$A127),"")</f>
        <v>Interior - Finishes</v>
      </c>
      <c r="Q127" s="129" t="str">
        <f aca="false">IF(ISNUMBER($A127),INDEX('Scope Checklist'!$E:$E,$A127),"")</f>
        <v>Pending</v>
      </c>
      <c r="R127" s="129" t="n">
        <f aca="false">IF(AND(ISNUMBER($A127),ISNUMBER($I127),ISNUMBER($H127)),$I127,0)</f>
        <v>12</v>
      </c>
      <c r="S127" s="130" t="n">
        <f aca="false">IF(ISNUMBER($G127),$G127,0)</f>
        <v>46444</v>
      </c>
      <c r="T127" s="130" t="n">
        <f aca="false">IF(ISNUMBER($H127),$H127,S127)</f>
        <v>46447</v>
      </c>
      <c r="U127" s="131" t="n">
        <f aca="false">IF(ISNUMBER($A127),IF(Q127="Complete",1,N(INDEX('Scope Checklist'!$I:$I,$A127))),0)</f>
        <v>0</v>
      </c>
      <c r="V127" s="131" t="n">
        <f aca="false">IF(OR(NOT(ISNUMBER($A127)),S127=0),0,IF(Dashboard!$C$4&lt;S127,0,IF(Dashboard!$C$4&gt;=T127,1,NETWORKDAYS(S127,Dashboard!$C$4,$M$6:$M$11)/NETWORKDAYS(S127,T127,$M$6:$M$11))))</f>
        <v>0</v>
      </c>
      <c r="W127" s="129" t="n">
        <f aca="false">R127*U127</f>
        <v>0</v>
      </c>
      <c r="X127" s="129" t="n">
        <f aca="false">R127*V127</f>
        <v>0</v>
      </c>
      <c r="Y127" s="132" t="b">
        <f aca="false">AND(ISNUMBER($A127),ISNUMBER($I127),T127&gt;0,T127&lt;Dashboard!$C$4,U127&lt;1)</f>
        <v>0</v>
      </c>
      <c r="Z127" s="129" t="str">
        <f aca="false">IF(Y127,COUNTIF(Y$6:Y127,TRUE()),"")</f>
        <v/>
      </c>
      <c r="AA127" s="132" t="b">
        <f aca="false">AND(ISNUMBER($A127),ISNUMBER($I127),U127&lt;1,NOT(Y127),S127&gt;0,S127&lt;=WORKDAY(Dashboard!$C$4,10,$M$6:$M$11),T127&gt;=Dashboard!$C$4)</f>
        <v>0</v>
      </c>
      <c r="AB127" s="129" t="str">
        <f aca="false">IF(AA127,COUNTIF(AA$6:AA127,TRUE()),"")</f>
        <v/>
      </c>
    </row>
    <row r="128" customFormat="false" ht="23.85" hidden="false" customHeight="false" outlineLevel="0" collapsed="false">
      <c r="A128" s="133" t="n">
        <v>137</v>
      </c>
      <c r="B128" s="134" t="n">
        <f aca="false">IF('Scope Checklist'!A137="","-",'Scope Checklist'!A137)</f>
        <v>129</v>
      </c>
      <c r="C128" s="135" t="str">
        <f aca="false">'Scope Checklist'!D137</f>
        <v>Window treatments - blinds</v>
      </c>
      <c r="D128" s="62" t="s">
        <v>828</v>
      </c>
      <c r="E128" s="136" t="n">
        <v>0</v>
      </c>
      <c r="F128" s="136" t="n">
        <v>2</v>
      </c>
      <c r="G128" s="64" t="n">
        <f aca="false">WORKDAY(H120,1+E128,$M$6:$M$11)</f>
        <v>46440</v>
      </c>
      <c r="H128" s="64" t="n">
        <f aca="false">WORKDAY(G128,F128-1,$M$6:$M$11)</f>
        <v>46441</v>
      </c>
      <c r="I128" s="136" t="n">
        <v>8</v>
      </c>
      <c r="J128" s="133" t="s">
        <v>164</v>
      </c>
      <c r="K128" s="62" t="s">
        <v>722</v>
      </c>
      <c r="P128" s="129" t="str">
        <f aca="false">IF(ISNUMBER($A128),INDEX('Scope Checklist'!$B:$B,$A128),"")</f>
        <v>Interior - Finishes</v>
      </c>
      <c r="Q128" s="129" t="str">
        <f aca="false">IF(ISNUMBER($A128),INDEX('Scope Checklist'!$E:$E,$A128),"")</f>
        <v>Pending</v>
      </c>
      <c r="R128" s="129" t="n">
        <f aca="false">IF(AND(ISNUMBER($A128),ISNUMBER($I128),ISNUMBER($H128)),$I128,0)</f>
        <v>8</v>
      </c>
      <c r="S128" s="130" t="n">
        <f aca="false">IF(ISNUMBER($G128),$G128,0)</f>
        <v>46440</v>
      </c>
      <c r="T128" s="130" t="n">
        <f aca="false">IF(ISNUMBER($H128),$H128,S128)</f>
        <v>46441</v>
      </c>
      <c r="U128" s="131" t="n">
        <f aca="false">IF(ISNUMBER($A128),IF(Q128="Complete",1,N(INDEX('Scope Checklist'!$I:$I,$A128))),0)</f>
        <v>0</v>
      </c>
      <c r="V128" s="131" t="n">
        <f aca="false">IF(OR(NOT(ISNUMBER($A128)),S128=0),0,IF(Dashboard!$C$4&lt;S128,0,IF(Dashboard!$C$4&gt;=T128,1,NETWORKDAYS(S128,Dashboard!$C$4,$M$6:$M$11)/NETWORKDAYS(S128,T128,$M$6:$M$11))))</f>
        <v>0</v>
      </c>
      <c r="W128" s="129" t="n">
        <f aca="false">R128*U128</f>
        <v>0</v>
      </c>
      <c r="X128" s="129" t="n">
        <f aca="false">R128*V128</f>
        <v>0</v>
      </c>
      <c r="Y128" s="132" t="b">
        <f aca="false">AND(ISNUMBER($A128),ISNUMBER($I128),T128&gt;0,T128&lt;Dashboard!$C$4,U128&lt;1)</f>
        <v>0</v>
      </c>
      <c r="Z128" s="129" t="str">
        <f aca="false">IF(Y128,COUNTIF(Y$6:Y128,TRUE()),"")</f>
        <v/>
      </c>
      <c r="AA128" s="132" t="b">
        <f aca="false">AND(ISNUMBER($A128),ISNUMBER($I128),U128&lt;1,NOT(Y128),S128&gt;0,S128&lt;=WORKDAY(Dashboard!$C$4,10,$M$6:$M$11),T128&gt;=Dashboard!$C$4)</f>
        <v>0</v>
      </c>
      <c r="AB128" s="129" t="str">
        <f aca="false">IF(AA128,COUNTIF(AA$6:AA128,TRUE()),"")</f>
        <v/>
      </c>
    </row>
    <row r="129" customFormat="false" ht="23.85" hidden="false" customHeight="false" outlineLevel="0" collapsed="false">
      <c r="A129" s="133" t="n">
        <v>138</v>
      </c>
      <c r="B129" s="134" t="n">
        <f aca="false">IF('Scope Checklist'!A138="","-",'Scope Checklist'!A138)</f>
        <v>134</v>
      </c>
      <c r="C129" s="135" t="str">
        <f aca="false">'Scope Checklist'!D138</f>
        <v>Garage floor - repair + epoxy</v>
      </c>
      <c r="D129" s="62" t="s">
        <v>829</v>
      </c>
      <c r="E129" s="136" t="n">
        <v>0</v>
      </c>
      <c r="F129" s="136" t="n">
        <v>3</v>
      </c>
      <c r="G129" s="64" t="n">
        <f aca="false">WORKDAY(H120,1+E129,$M$6:$M$11)</f>
        <v>46440</v>
      </c>
      <c r="H129" s="64" t="n">
        <f aca="false">WORKDAY(G129,F129-1,$M$6:$M$11)</f>
        <v>46442</v>
      </c>
      <c r="I129" s="136" t="n">
        <v>16</v>
      </c>
      <c r="J129" s="133" t="s">
        <v>382</v>
      </c>
      <c r="K129" s="62" t="s">
        <v>830</v>
      </c>
      <c r="P129" s="129" t="str">
        <f aca="false">IF(ISNUMBER($A129),INDEX('Scope Checklist'!$B:$B,$A129),"")</f>
        <v>Interior - Finishes</v>
      </c>
      <c r="Q129" s="129" t="str">
        <f aca="false">IF(ISNUMBER($A129),INDEX('Scope Checklist'!$E:$E,$A129),"")</f>
        <v>Pending</v>
      </c>
      <c r="R129" s="129" t="n">
        <f aca="false">IF(AND(ISNUMBER($A129),ISNUMBER($I129),ISNUMBER($H129)),$I129,0)</f>
        <v>16</v>
      </c>
      <c r="S129" s="130" t="n">
        <f aca="false">IF(ISNUMBER($G129),$G129,0)</f>
        <v>46440</v>
      </c>
      <c r="T129" s="130" t="n">
        <f aca="false">IF(ISNUMBER($H129),$H129,S129)</f>
        <v>46442</v>
      </c>
      <c r="U129" s="131" t="n">
        <f aca="false">IF(ISNUMBER($A129),IF(Q129="Complete",1,N(INDEX('Scope Checklist'!$I:$I,$A129))),0)</f>
        <v>0</v>
      </c>
      <c r="V129" s="131" t="n">
        <f aca="false">IF(OR(NOT(ISNUMBER($A129)),S129=0),0,IF(Dashboard!$C$4&lt;S129,0,IF(Dashboard!$C$4&gt;=T129,1,NETWORKDAYS(S129,Dashboard!$C$4,$M$6:$M$11)/NETWORKDAYS(S129,T129,$M$6:$M$11))))</f>
        <v>0</v>
      </c>
      <c r="W129" s="129" t="n">
        <f aca="false">R129*U129</f>
        <v>0</v>
      </c>
      <c r="X129" s="129" t="n">
        <f aca="false">R129*V129</f>
        <v>0</v>
      </c>
      <c r="Y129" s="132" t="b">
        <f aca="false">AND(ISNUMBER($A129),ISNUMBER($I129),T129&gt;0,T129&lt;Dashboard!$C$4,U129&lt;1)</f>
        <v>0</v>
      </c>
      <c r="Z129" s="129" t="str">
        <f aca="false">IF(Y129,COUNTIF(Y$6:Y129,TRUE()),"")</f>
        <v/>
      </c>
      <c r="AA129" s="132" t="b">
        <f aca="false">AND(ISNUMBER($A129),ISNUMBER($I129),U129&lt;1,NOT(Y129),S129&gt;0,S129&lt;=WORKDAY(Dashboard!$C$4,10,$M$6:$M$11),T129&gt;=Dashboard!$C$4)</f>
        <v>0</v>
      </c>
      <c r="AB129" s="129" t="str">
        <f aca="false">IF(AA129,COUNTIF(AA$6:AA129,TRUE()),"")</f>
        <v/>
      </c>
    </row>
    <row r="130" customFormat="false" ht="15" hidden="false" customHeight="false" outlineLevel="0" collapsed="false">
      <c r="A130" s="133" t="n">
        <v>139</v>
      </c>
      <c r="B130" s="134" t="n">
        <f aca="false">IF('Scope Checklist'!A139="","-",'Scope Checklist'!A139)</f>
        <v>133</v>
      </c>
      <c r="C130" s="135" t="str">
        <f aca="false">'Scope Checklist'!D139</f>
        <v>Garage shelf - install</v>
      </c>
      <c r="D130" s="62" t="s">
        <v>831</v>
      </c>
      <c r="E130" s="136" t="n">
        <v>0</v>
      </c>
      <c r="F130" s="136" t="n">
        <v>1</v>
      </c>
      <c r="G130" s="64" t="n">
        <f aca="false">WORKDAY(H129,1+E130,$M$6:$M$11)</f>
        <v>46443</v>
      </c>
      <c r="H130" s="64" t="n">
        <f aca="false">WORKDAY(G130,F130-1,$M$6:$M$11)</f>
        <v>46443</v>
      </c>
      <c r="I130" s="136" t="n">
        <v>4</v>
      </c>
      <c r="J130" s="133" t="s">
        <v>369</v>
      </c>
      <c r="K130" s="62" t="s">
        <v>722</v>
      </c>
      <c r="P130" s="129" t="str">
        <f aca="false">IF(ISNUMBER($A130),INDEX('Scope Checklist'!$B:$B,$A130),"")</f>
        <v>Interior - Finishes</v>
      </c>
      <c r="Q130" s="129" t="str">
        <f aca="false">IF(ISNUMBER($A130),INDEX('Scope Checklist'!$E:$E,$A130),"")</f>
        <v>Pending</v>
      </c>
      <c r="R130" s="129" t="n">
        <f aca="false">IF(AND(ISNUMBER($A130),ISNUMBER($I130),ISNUMBER($H130)),$I130,0)</f>
        <v>4</v>
      </c>
      <c r="S130" s="130" t="n">
        <f aca="false">IF(ISNUMBER($G130),$G130,0)</f>
        <v>46443</v>
      </c>
      <c r="T130" s="130" t="n">
        <f aca="false">IF(ISNUMBER($H130),$H130,S130)</f>
        <v>46443</v>
      </c>
      <c r="U130" s="131" t="n">
        <f aca="false">IF(ISNUMBER($A130),IF(Q130="Complete",1,N(INDEX('Scope Checklist'!$I:$I,$A130))),0)</f>
        <v>0</v>
      </c>
      <c r="V130" s="131" t="n">
        <f aca="false">IF(OR(NOT(ISNUMBER($A130)),S130=0),0,IF(Dashboard!$C$4&lt;S130,0,IF(Dashboard!$C$4&gt;=T130,1,NETWORKDAYS(S130,Dashboard!$C$4,$M$6:$M$11)/NETWORKDAYS(S130,T130,$M$6:$M$11))))</f>
        <v>0</v>
      </c>
      <c r="W130" s="129" t="n">
        <f aca="false">R130*U130</f>
        <v>0</v>
      </c>
      <c r="X130" s="129" t="n">
        <f aca="false">R130*V130</f>
        <v>0</v>
      </c>
      <c r="Y130" s="132" t="b">
        <f aca="false">AND(ISNUMBER($A130),ISNUMBER($I130),T130&gt;0,T130&lt;Dashboard!$C$4,U130&lt;1)</f>
        <v>0</v>
      </c>
      <c r="Z130" s="129" t="str">
        <f aca="false">IF(Y130,COUNTIF(Y$6:Y130,TRUE()),"")</f>
        <v/>
      </c>
      <c r="AA130" s="132" t="b">
        <f aca="false">AND(ISNUMBER($A130),ISNUMBER($I130),U130&lt;1,NOT(Y130),S130&gt;0,S130&lt;=WORKDAY(Dashboard!$C$4,10,$M$6:$M$11),T130&gt;=Dashboard!$C$4)</f>
        <v>0</v>
      </c>
      <c r="AB130" s="129" t="str">
        <f aca="false">IF(AA130,COUNTIF(AA$6:AA130,TRUE()),"")</f>
        <v/>
      </c>
    </row>
    <row r="131" customFormat="false" ht="15" hidden="false" customHeight="false" outlineLevel="0" collapsed="false">
      <c r="A131" s="133" t="n">
        <v>140</v>
      </c>
      <c r="B131" s="134" t="n">
        <f aca="false">IF('Scope Checklist'!A140="","-",'Scope Checklist'!A140)</f>
        <v>135</v>
      </c>
      <c r="C131" s="135" t="str">
        <f aca="false">'Scope Checklist'!D140</f>
        <v>Tool box / shelf from Delray storage</v>
      </c>
      <c r="D131" s="62" t="s">
        <v>832</v>
      </c>
      <c r="E131" s="136" t="n">
        <v>0</v>
      </c>
      <c r="F131" s="136" t="n">
        <v>1</v>
      </c>
      <c r="G131" s="64" t="n">
        <f aca="false">WORKDAY(H130,1+E131,$M$6:$M$11)</f>
        <v>46444</v>
      </c>
      <c r="H131" s="64" t="n">
        <f aca="false">WORKDAY(G131,F131-1,$M$6:$M$11)</f>
        <v>46444</v>
      </c>
      <c r="I131" s="136" t="n">
        <v>4</v>
      </c>
      <c r="J131" s="133" t="s">
        <v>425</v>
      </c>
      <c r="K131" s="62" t="s">
        <v>722</v>
      </c>
      <c r="P131" s="129" t="str">
        <f aca="false">IF(ISNUMBER($A131),INDEX('Scope Checklist'!$B:$B,$A131),"")</f>
        <v>Interior - Finishes</v>
      </c>
      <c r="Q131" s="129" t="str">
        <f aca="false">IF(ISNUMBER($A131),INDEX('Scope Checklist'!$E:$E,$A131),"")</f>
        <v>Pending</v>
      </c>
      <c r="R131" s="129" t="n">
        <f aca="false">IF(AND(ISNUMBER($A131),ISNUMBER($I131),ISNUMBER($H131)),$I131,0)</f>
        <v>4</v>
      </c>
      <c r="S131" s="130" t="n">
        <f aca="false">IF(ISNUMBER($G131),$G131,0)</f>
        <v>46444</v>
      </c>
      <c r="T131" s="130" t="n">
        <f aca="false">IF(ISNUMBER($H131),$H131,S131)</f>
        <v>46444</v>
      </c>
      <c r="U131" s="131" t="n">
        <f aca="false">IF(ISNUMBER($A131),IF(Q131="Complete",1,N(INDEX('Scope Checklist'!$I:$I,$A131))),0)</f>
        <v>0</v>
      </c>
      <c r="V131" s="131" t="n">
        <f aca="false">IF(OR(NOT(ISNUMBER($A131)),S131=0),0,IF(Dashboard!$C$4&lt;S131,0,IF(Dashboard!$C$4&gt;=T131,1,NETWORKDAYS(S131,Dashboard!$C$4,$M$6:$M$11)/NETWORKDAYS(S131,T131,$M$6:$M$11))))</f>
        <v>0</v>
      </c>
      <c r="W131" s="129" t="n">
        <f aca="false">R131*U131</f>
        <v>0</v>
      </c>
      <c r="X131" s="129" t="n">
        <f aca="false">R131*V131</f>
        <v>0</v>
      </c>
      <c r="Y131" s="132" t="b">
        <f aca="false">AND(ISNUMBER($A131),ISNUMBER($I131),T131&gt;0,T131&lt;Dashboard!$C$4,U131&lt;1)</f>
        <v>0</v>
      </c>
      <c r="Z131" s="129" t="str">
        <f aca="false">IF(Y131,COUNTIF(Y$6:Y131,TRUE()),"")</f>
        <v/>
      </c>
      <c r="AA131" s="132" t="b">
        <f aca="false">AND(ISNUMBER($A131),ISNUMBER($I131),U131&lt;1,NOT(Y131),S131&gt;0,S131&lt;=WORKDAY(Dashboard!$C$4,10,$M$6:$M$11),T131&gt;=Dashboard!$C$4)</f>
        <v>0</v>
      </c>
      <c r="AB131" s="129" t="str">
        <f aca="false">IF(AA131,COUNTIF(AA$6:AA131,TRUE()),"")</f>
        <v/>
      </c>
    </row>
    <row r="132" customFormat="false" ht="23.85" hidden="false" customHeight="false" outlineLevel="0" collapsed="false">
      <c r="A132" s="133" t="n">
        <v>141</v>
      </c>
      <c r="B132" s="134" t="n">
        <f aca="false">IF('Scope Checklist'!A141="","-",'Scope Checklist'!A141)</f>
        <v>127</v>
      </c>
      <c r="C132" s="135" t="str">
        <f aca="false">'Scope Checklist'!D141</f>
        <v>Pre-final alignment punch - doors, door handles, drawers, closet doors</v>
      </c>
      <c r="D132" s="62" t="s">
        <v>833</v>
      </c>
      <c r="E132" s="136" t="n">
        <v>0</v>
      </c>
      <c r="F132" s="136" t="n">
        <v>1</v>
      </c>
      <c r="G132" s="64" t="n">
        <f aca="false">WORKDAY(MAX(H119,H126,H127,H124,H77,H96,H112),1+E132,$M$6:$M$11)</f>
        <v>46458</v>
      </c>
      <c r="H132" s="64" t="n">
        <f aca="false">WORKDAY(G132,F132-1,$M$6:$M$11)</f>
        <v>46458</v>
      </c>
      <c r="I132" s="136" t="n">
        <v>8</v>
      </c>
      <c r="J132" s="133" t="s">
        <v>164</v>
      </c>
      <c r="K132" s="62" t="s">
        <v>834</v>
      </c>
      <c r="P132" s="129" t="str">
        <f aca="false">IF(ISNUMBER($A132),INDEX('Scope Checklist'!$B:$B,$A132),"")</f>
        <v>Interior - Finishes</v>
      </c>
      <c r="Q132" s="129" t="str">
        <f aca="false">IF(ISNUMBER($A132),INDEX('Scope Checklist'!$E:$E,$A132),"")</f>
        <v>Pending</v>
      </c>
      <c r="R132" s="129" t="n">
        <f aca="false">IF(AND(ISNUMBER($A132),ISNUMBER($I132),ISNUMBER($H132)),$I132,0)</f>
        <v>8</v>
      </c>
      <c r="S132" s="130" t="n">
        <f aca="false">IF(ISNUMBER($G132),$G132,0)</f>
        <v>46458</v>
      </c>
      <c r="T132" s="130" t="n">
        <f aca="false">IF(ISNUMBER($H132),$H132,S132)</f>
        <v>46458</v>
      </c>
      <c r="U132" s="131" t="n">
        <f aca="false">IF(ISNUMBER($A132),IF(Q132="Complete",1,N(INDEX('Scope Checklist'!$I:$I,$A132))),0)</f>
        <v>0</v>
      </c>
      <c r="V132" s="131" t="n">
        <f aca="false">IF(OR(NOT(ISNUMBER($A132)),S132=0),0,IF(Dashboard!$C$4&lt;S132,0,IF(Dashboard!$C$4&gt;=T132,1,NETWORKDAYS(S132,Dashboard!$C$4,$M$6:$M$11)/NETWORKDAYS(S132,T132,$M$6:$M$11))))</f>
        <v>0</v>
      </c>
      <c r="W132" s="129" t="n">
        <f aca="false">R132*U132</f>
        <v>0</v>
      </c>
      <c r="X132" s="129" t="n">
        <f aca="false">R132*V132</f>
        <v>0</v>
      </c>
      <c r="Y132" s="132" t="b">
        <f aca="false">AND(ISNUMBER($A132),ISNUMBER($I132),T132&gt;0,T132&lt;Dashboard!$C$4,U132&lt;1)</f>
        <v>0</v>
      </c>
      <c r="Z132" s="129" t="str">
        <f aca="false">IF(Y132,COUNTIF(Y$6:Y132,TRUE()),"")</f>
        <v/>
      </c>
      <c r="AA132" s="132" t="b">
        <f aca="false">AND(ISNUMBER($A132),ISNUMBER($I132),U132&lt;1,NOT(Y132),S132&gt;0,S132&lt;=WORKDAY(Dashboard!$C$4,10,$M$6:$M$11),T132&gt;=Dashboard!$C$4)</f>
        <v>0</v>
      </c>
      <c r="AB132" s="129" t="str">
        <f aca="false">IF(AA132,COUNTIF(AA$6:AA132,TRUE()),"")</f>
        <v/>
      </c>
    </row>
    <row r="133" customFormat="false" ht="15" hidden="false" customHeight="false" outlineLevel="0" collapsed="false">
      <c r="A133" s="59" t="s">
        <v>430</v>
      </c>
      <c r="B133" s="127"/>
      <c r="C133" s="127"/>
      <c r="D133" s="127"/>
      <c r="E133" s="127"/>
      <c r="F133" s="127"/>
      <c r="G133" s="127"/>
      <c r="H133" s="127"/>
      <c r="I133" s="127"/>
      <c r="J133" s="127"/>
      <c r="K133" s="127"/>
      <c r="P133" s="129" t="str">
        <f aca="false">IF(ISNUMBER($A133),INDEX('Scope Checklist'!$B:$B,$A133),"")</f>
        <v/>
      </c>
      <c r="Q133" s="129" t="str">
        <f aca="false">IF(ISNUMBER($A133),INDEX('Scope Checklist'!$E:$E,$A133),"")</f>
        <v/>
      </c>
      <c r="R133" s="129" t="n">
        <f aca="false">IF(AND(ISNUMBER($A133),ISNUMBER($I133),ISNUMBER($H133)),$I133,0)</f>
        <v>0</v>
      </c>
      <c r="S133" s="130" t="n">
        <f aca="false">IF(ISNUMBER($G133),$G133,0)</f>
        <v>0</v>
      </c>
      <c r="T133" s="130" t="n">
        <f aca="false">IF(ISNUMBER($H133),$H133,S133)</f>
        <v>0</v>
      </c>
      <c r="U133" s="131" t="n">
        <f aca="false">IF(ISNUMBER($A133),IF(Q133="Complete",1,N(INDEX('Scope Checklist'!$I:$I,$A133))),0)</f>
        <v>0</v>
      </c>
      <c r="V133" s="131" t="n">
        <f aca="false">IF(OR(NOT(ISNUMBER($A133)),S133=0),0,IF(Dashboard!$C$4&lt;S133,0,IF(Dashboard!$C$4&gt;=T133,1,NETWORKDAYS(S133,Dashboard!$C$4,$M$6:$M$11)/NETWORKDAYS(S133,T133,$M$6:$M$11))))</f>
        <v>0</v>
      </c>
      <c r="W133" s="129" t="n">
        <f aca="false">R133*U133</f>
        <v>0</v>
      </c>
      <c r="X133" s="129" t="n">
        <f aca="false">R133*V133</f>
        <v>0</v>
      </c>
      <c r="Y133" s="132" t="b">
        <f aca="false">AND(ISNUMBER($A133),ISNUMBER($I133),T133&gt;0,T133&lt;Dashboard!$C$4,U133&lt;1)</f>
        <v>0</v>
      </c>
      <c r="Z133" s="129" t="str">
        <f aca="false">IF(Y133,COUNTIF(Y$6:Y133,TRUE()),"")</f>
        <v/>
      </c>
      <c r="AA133" s="132" t="b">
        <f aca="false">AND(ISNUMBER($A133),ISNUMBER($I133),U133&lt;1,NOT(Y133),S133&gt;0,S133&lt;=WORKDAY(Dashboard!$C$4,10,$M$6:$M$11),T133&gt;=Dashboard!$C$4)</f>
        <v>0</v>
      </c>
      <c r="AB133" s="129" t="str">
        <f aca="false">IF(AA133,COUNTIF(AA$6:AA133,TRUE()),"")</f>
        <v/>
      </c>
    </row>
    <row r="134" customFormat="false" ht="23.85" hidden="false" customHeight="false" outlineLevel="0" collapsed="false">
      <c r="A134" s="133" t="n">
        <v>144</v>
      </c>
      <c r="B134" s="134" t="n">
        <f aca="false">IF('Scope Checklist'!A144="","-",'Scope Checklist'!A144)</f>
        <v>136</v>
      </c>
      <c r="C134" s="135" t="str">
        <f aca="false">'Scope Checklist'!D144</f>
        <v>Final inspections - all trades</v>
      </c>
      <c r="D134" s="62" t="s">
        <v>835</v>
      </c>
      <c r="E134" s="136" t="n">
        <v>0</v>
      </c>
      <c r="F134" s="136" t="n">
        <v>5</v>
      </c>
      <c r="G134" s="64" t="n">
        <f aca="false">WORKDAY(MAX(H55,H60,H61,H67,H68,H77,H95,H111,H132,H158,H149),1+E134,$M$6:$M$11)</f>
        <v>46461</v>
      </c>
      <c r="H134" s="64" t="n">
        <f aca="false">WORKDAY(G134,F134-1,$M$6:$M$11)</f>
        <v>46465</v>
      </c>
      <c r="I134" s="136" t="n">
        <v>12</v>
      </c>
      <c r="J134" s="133" t="s">
        <v>146</v>
      </c>
      <c r="K134" s="62" t="s">
        <v>836</v>
      </c>
      <c r="P134" s="129" t="str">
        <f aca="false">IF(ISNUMBER($A134),INDEX('Scope Checklist'!$B:$B,$A134),"")</f>
        <v>Closeout</v>
      </c>
      <c r="Q134" s="129" t="str">
        <f aca="false">IF(ISNUMBER($A134),INDEX('Scope Checklist'!$E:$E,$A134),"")</f>
        <v>Pending</v>
      </c>
      <c r="R134" s="129" t="n">
        <f aca="false">IF(AND(ISNUMBER($A134),ISNUMBER($I134),ISNUMBER($H134)),$I134,0)</f>
        <v>12</v>
      </c>
      <c r="S134" s="130" t="n">
        <f aca="false">IF(ISNUMBER($G134),$G134,0)</f>
        <v>46461</v>
      </c>
      <c r="T134" s="130" t="n">
        <f aca="false">IF(ISNUMBER($H134),$H134,S134)</f>
        <v>46465</v>
      </c>
      <c r="U134" s="131" t="n">
        <f aca="false">IF(ISNUMBER($A134),IF(Q134="Complete",1,N(INDEX('Scope Checklist'!$I:$I,$A134))),0)</f>
        <v>0</v>
      </c>
      <c r="V134" s="131" t="n">
        <f aca="false">IF(OR(NOT(ISNUMBER($A134)),S134=0),0,IF(Dashboard!$C$4&lt;S134,0,IF(Dashboard!$C$4&gt;=T134,1,NETWORKDAYS(S134,Dashboard!$C$4,$M$6:$M$11)/NETWORKDAYS(S134,T134,$M$6:$M$11))))</f>
        <v>0</v>
      </c>
      <c r="W134" s="129" t="n">
        <f aca="false">R134*U134</f>
        <v>0</v>
      </c>
      <c r="X134" s="129" t="n">
        <f aca="false">R134*V134</f>
        <v>0</v>
      </c>
      <c r="Y134" s="132" t="b">
        <f aca="false">AND(ISNUMBER($A134),ISNUMBER($I134),T134&gt;0,T134&lt;Dashboard!$C$4,U134&lt;1)</f>
        <v>0</v>
      </c>
      <c r="Z134" s="129" t="str">
        <f aca="false">IF(Y134,COUNTIF(Y$6:Y134,TRUE()),"")</f>
        <v/>
      </c>
      <c r="AA134" s="132" t="b">
        <f aca="false">AND(ISNUMBER($A134),ISNUMBER($I134),U134&lt;1,NOT(Y134),S134&gt;0,S134&lt;=WORKDAY(Dashboard!$C$4,10,$M$6:$M$11),T134&gt;=Dashboard!$C$4)</f>
        <v>0</v>
      </c>
      <c r="AB134" s="129" t="str">
        <f aca="false">IF(AA134,COUNTIF(AA$6:AA134,TRUE()),"")</f>
        <v/>
      </c>
    </row>
    <row r="135" customFormat="false" ht="15" hidden="false" customHeight="false" outlineLevel="0" collapsed="false">
      <c r="A135" s="133" t="n">
        <v>145</v>
      </c>
      <c r="B135" s="134" t="n">
        <f aca="false">IF('Scope Checklist'!A145="","-",'Scope Checklist'!A145)</f>
        <v>137</v>
      </c>
      <c r="C135" s="135" t="str">
        <f aca="false">'Scope Checklist'!D145</f>
        <v>Permit closeout / CO or CC</v>
      </c>
      <c r="D135" s="62" t="s">
        <v>837</v>
      </c>
      <c r="E135" s="136" t="n">
        <v>0</v>
      </c>
      <c r="F135" s="136" t="n">
        <v>5</v>
      </c>
      <c r="G135" s="64" t="n">
        <f aca="false">WORKDAY(H134,1+E135,$M$6:$M$11)</f>
        <v>46468</v>
      </c>
      <c r="H135" s="64" t="n">
        <f aca="false">WORKDAY(G135,F135-1,$M$6:$M$11)</f>
        <v>46472</v>
      </c>
      <c r="I135" s="136" t="n">
        <v>6</v>
      </c>
      <c r="J135" s="133" t="s">
        <v>146</v>
      </c>
      <c r="K135" s="62" t="s">
        <v>838</v>
      </c>
      <c r="P135" s="129" t="str">
        <f aca="false">IF(ISNUMBER($A135),INDEX('Scope Checklist'!$B:$B,$A135),"")</f>
        <v>Closeout</v>
      </c>
      <c r="Q135" s="129" t="str">
        <f aca="false">IF(ISNUMBER($A135),INDEX('Scope Checklist'!$E:$E,$A135),"")</f>
        <v>Pending</v>
      </c>
      <c r="R135" s="129" t="n">
        <f aca="false">IF(AND(ISNUMBER($A135),ISNUMBER($I135),ISNUMBER($H135)),$I135,0)</f>
        <v>6</v>
      </c>
      <c r="S135" s="130" t="n">
        <f aca="false">IF(ISNUMBER($G135),$G135,0)</f>
        <v>46468</v>
      </c>
      <c r="T135" s="130" t="n">
        <f aca="false">IF(ISNUMBER($H135),$H135,S135)</f>
        <v>46472</v>
      </c>
      <c r="U135" s="131" t="n">
        <f aca="false">IF(ISNUMBER($A135),IF(Q135="Complete",1,N(INDEX('Scope Checklist'!$I:$I,$A135))),0)</f>
        <v>0</v>
      </c>
      <c r="V135" s="131" t="n">
        <f aca="false">IF(OR(NOT(ISNUMBER($A135)),S135=0),0,IF(Dashboard!$C$4&lt;S135,0,IF(Dashboard!$C$4&gt;=T135,1,NETWORKDAYS(S135,Dashboard!$C$4,$M$6:$M$11)/NETWORKDAYS(S135,T135,$M$6:$M$11))))</f>
        <v>0</v>
      </c>
      <c r="W135" s="129" t="n">
        <f aca="false">R135*U135</f>
        <v>0</v>
      </c>
      <c r="X135" s="129" t="n">
        <f aca="false">R135*V135</f>
        <v>0</v>
      </c>
      <c r="Y135" s="132" t="b">
        <f aca="false">AND(ISNUMBER($A135),ISNUMBER($I135),T135&gt;0,T135&lt;Dashboard!$C$4,U135&lt;1)</f>
        <v>0</v>
      </c>
      <c r="Z135" s="129" t="str">
        <f aca="false">IF(Y135,COUNTIF(Y$6:Y135,TRUE()),"")</f>
        <v/>
      </c>
      <c r="AA135" s="132" t="b">
        <f aca="false">AND(ISNUMBER($A135),ISNUMBER($I135),U135&lt;1,NOT(Y135),S135&gt;0,S135&lt;=WORKDAY(Dashboard!$C$4,10,$M$6:$M$11),T135&gt;=Dashboard!$C$4)</f>
        <v>0</v>
      </c>
      <c r="AB135" s="129" t="str">
        <f aca="false">IF(AA135,COUNTIF(AA$6:AA135,TRUE()),"")</f>
        <v/>
      </c>
    </row>
    <row r="136" customFormat="false" ht="23.85" hidden="false" customHeight="false" outlineLevel="0" collapsed="false">
      <c r="A136" s="133" t="n">
        <v>146</v>
      </c>
      <c r="B136" s="134" t="n">
        <f aca="false">IF('Scope Checklist'!A146="","-",'Scope Checklist'!A146)</f>
        <v>138</v>
      </c>
      <c r="C136" s="135" t="str">
        <f aca="false">'Scope Checklist'!D146</f>
        <v>Punch list walkthrough</v>
      </c>
      <c r="D136" s="62" t="s">
        <v>839</v>
      </c>
      <c r="E136" s="136" t="n">
        <v>0</v>
      </c>
      <c r="F136" s="136" t="n">
        <v>4</v>
      </c>
      <c r="G136" s="64" t="n">
        <f aca="false">WORKDAY(G134,E136,$M$6:$M$11)</f>
        <v>46461</v>
      </c>
      <c r="H136" s="64" t="n">
        <f aca="false">WORKDAY(G136,F136-1,$M$6:$M$11)</f>
        <v>46464</v>
      </c>
      <c r="I136" s="136" t="n">
        <v>24</v>
      </c>
      <c r="J136" s="133" t="s">
        <v>146</v>
      </c>
      <c r="K136" s="62" t="s">
        <v>722</v>
      </c>
      <c r="P136" s="129" t="str">
        <f aca="false">IF(ISNUMBER($A136),INDEX('Scope Checklist'!$B:$B,$A136),"")</f>
        <v>Closeout</v>
      </c>
      <c r="Q136" s="129" t="str">
        <f aca="false">IF(ISNUMBER($A136),INDEX('Scope Checklist'!$E:$E,$A136),"")</f>
        <v>Pending</v>
      </c>
      <c r="R136" s="129" t="n">
        <f aca="false">IF(AND(ISNUMBER($A136),ISNUMBER($I136),ISNUMBER($H136)),$I136,0)</f>
        <v>24</v>
      </c>
      <c r="S136" s="130" t="n">
        <f aca="false">IF(ISNUMBER($G136),$G136,0)</f>
        <v>46461</v>
      </c>
      <c r="T136" s="130" t="n">
        <f aca="false">IF(ISNUMBER($H136),$H136,S136)</f>
        <v>46464</v>
      </c>
      <c r="U136" s="131" t="n">
        <f aca="false">IF(ISNUMBER($A136),IF(Q136="Complete",1,N(INDEX('Scope Checklist'!$I:$I,$A136))),0)</f>
        <v>0</v>
      </c>
      <c r="V136" s="131" t="n">
        <f aca="false">IF(OR(NOT(ISNUMBER($A136)),S136=0),0,IF(Dashboard!$C$4&lt;S136,0,IF(Dashboard!$C$4&gt;=T136,1,NETWORKDAYS(S136,Dashboard!$C$4,$M$6:$M$11)/NETWORKDAYS(S136,T136,$M$6:$M$11))))</f>
        <v>0</v>
      </c>
      <c r="W136" s="129" t="n">
        <f aca="false">R136*U136</f>
        <v>0</v>
      </c>
      <c r="X136" s="129" t="n">
        <f aca="false">R136*V136</f>
        <v>0</v>
      </c>
      <c r="Y136" s="132" t="b">
        <f aca="false">AND(ISNUMBER($A136),ISNUMBER($I136),T136&gt;0,T136&lt;Dashboard!$C$4,U136&lt;1)</f>
        <v>0</v>
      </c>
      <c r="Z136" s="129" t="str">
        <f aca="false">IF(Y136,COUNTIF(Y$6:Y136,TRUE()),"")</f>
        <v/>
      </c>
      <c r="AA136" s="132" t="b">
        <f aca="false">AND(ISNUMBER($A136),ISNUMBER($I136),U136&lt;1,NOT(Y136),S136&gt;0,S136&lt;=WORKDAY(Dashboard!$C$4,10,$M$6:$M$11),T136&gt;=Dashboard!$C$4)</f>
        <v>0</v>
      </c>
      <c r="AB136" s="129" t="str">
        <f aca="false">IF(AA136,COUNTIF(AA$6:AA136,TRUE()),"")</f>
        <v/>
      </c>
    </row>
    <row r="137" customFormat="false" ht="15" hidden="false" customHeight="false" outlineLevel="0" collapsed="false">
      <c r="A137" s="133" t="n">
        <v>147</v>
      </c>
      <c r="B137" s="134" t="n">
        <f aca="false">IF('Scope Checklist'!A147="","-",'Scope Checklist'!A147)</f>
        <v>139</v>
      </c>
      <c r="C137" s="135" t="str">
        <f aca="false">'Scope Checklist'!D147</f>
        <v>Final window cleaning</v>
      </c>
      <c r="D137" s="62" t="s">
        <v>840</v>
      </c>
      <c r="E137" s="136" t="n">
        <v>0</v>
      </c>
      <c r="F137" s="136" t="n">
        <v>1</v>
      </c>
      <c r="G137" s="64" t="n">
        <f aca="false">WORKDAY(H136,1+E137,$M$6:$M$11)</f>
        <v>46465</v>
      </c>
      <c r="H137" s="64" t="n">
        <f aca="false">WORKDAY(G137,F137-1,$M$6:$M$11)</f>
        <v>46465</v>
      </c>
      <c r="I137" s="136" t="n">
        <v>6</v>
      </c>
      <c r="J137" s="133" t="s">
        <v>194</v>
      </c>
      <c r="K137" s="62" t="s">
        <v>841</v>
      </c>
      <c r="P137" s="129" t="str">
        <f aca="false">IF(ISNUMBER($A137),INDEX('Scope Checklist'!$B:$B,$A137),"")</f>
        <v>Closeout</v>
      </c>
      <c r="Q137" s="129" t="str">
        <f aca="false">IF(ISNUMBER($A137),INDEX('Scope Checklist'!$E:$E,$A137),"")</f>
        <v>Pending</v>
      </c>
      <c r="R137" s="129" t="n">
        <f aca="false">IF(AND(ISNUMBER($A137),ISNUMBER($I137),ISNUMBER($H137)),$I137,0)</f>
        <v>6</v>
      </c>
      <c r="S137" s="130" t="n">
        <f aca="false">IF(ISNUMBER($G137),$G137,0)</f>
        <v>46465</v>
      </c>
      <c r="T137" s="130" t="n">
        <f aca="false">IF(ISNUMBER($H137),$H137,S137)</f>
        <v>46465</v>
      </c>
      <c r="U137" s="131" t="n">
        <f aca="false">IF(ISNUMBER($A137),IF(Q137="Complete",1,N(INDEX('Scope Checklist'!$I:$I,$A137))),0)</f>
        <v>0</v>
      </c>
      <c r="V137" s="131" t="n">
        <f aca="false">IF(OR(NOT(ISNUMBER($A137)),S137=0),0,IF(Dashboard!$C$4&lt;S137,0,IF(Dashboard!$C$4&gt;=T137,1,NETWORKDAYS(S137,Dashboard!$C$4,$M$6:$M$11)/NETWORKDAYS(S137,T137,$M$6:$M$11))))</f>
        <v>0</v>
      </c>
      <c r="W137" s="129" t="n">
        <f aca="false">R137*U137</f>
        <v>0</v>
      </c>
      <c r="X137" s="129" t="n">
        <f aca="false">R137*V137</f>
        <v>0</v>
      </c>
      <c r="Y137" s="132" t="b">
        <f aca="false">AND(ISNUMBER($A137),ISNUMBER($I137),T137&gt;0,T137&lt;Dashboard!$C$4,U137&lt;1)</f>
        <v>0</v>
      </c>
      <c r="Z137" s="129" t="str">
        <f aca="false">IF(Y137,COUNTIF(Y$6:Y137,TRUE()),"")</f>
        <v/>
      </c>
      <c r="AA137" s="132" t="b">
        <f aca="false">AND(ISNUMBER($A137),ISNUMBER($I137),U137&lt;1,NOT(Y137),S137&gt;0,S137&lt;=WORKDAY(Dashboard!$C$4,10,$M$6:$M$11),T137&gt;=Dashboard!$C$4)</f>
        <v>0</v>
      </c>
      <c r="AB137" s="129" t="str">
        <f aca="false">IF(AA137,COUNTIF(AA$6:AA137,TRUE()),"")</f>
        <v/>
      </c>
    </row>
    <row r="138" customFormat="false" ht="15" hidden="false" customHeight="false" outlineLevel="0" collapsed="false">
      <c r="A138" s="133" t="n">
        <v>148</v>
      </c>
      <c r="B138" s="134" t="n">
        <f aca="false">IF('Scope Checklist'!A148="","-",'Scope Checklist'!A148)</f>
        <v>140</v>
      </c>
      <c r="C138" s="135" t="str">
        <f aca="false">'Scope Checklist'!D148</f>
        <v>Final deep clean</v>
      </c>
      <c r="D138" s="62" t="s">
        <v>842</v>
      </c>
      <c r="E138" s="136" t="n">
        <v>0</v>
      </c>
      <c r="F138" s="136" t="n">
        <v>2</v>
      </c>
      <c r="G138" s="64" t="n">
        <f aca="false">WORKDAY(H137,1+E138,$M$6:$M$11)</f>
        <v>46468</v>
      </c>
      <c r="H138" s="64" t="n">
        <f aca="false">WORKDAY(G138,F138-1,$M$6:$M$11)</f>
        <v>46469</v>
      </c>
      <c r="I138" s="136" t="n">
        <v>16</v>
      </c>
      <c r="J138" s="133" t="s">
        <v>194</v>
      </c>
      <c r="K138" s="62" t="s">
        <v>722</v>
      </c>
      <c r="P138" s="129" t="str">
        <f aca="false">IF(ISNUMBER($A138),INDEX('Scope Checklist'!$B:$B,$A138),"")</f>
        <v>Closeout</v>
      </c>
      <c r="Q138" s="129" t="str">
        <f aca="false">IF(ISNUMBER($A138),INDEX('Scope Checklist'!$E:$E,$A138),"")</f>
        <v>Pending</v>
      </c>
      <c r="R138" s="129" t="n">
        <f aca="false">IF(AND(ISNUMBER($A138),ISNUMBER($I138),ISNUMBER($H138)),$I138,0)</f>
        <v>16</v>
      </c>
      <c r="S138" s="130" t="n">
        <f aca="false">IF(ISNUMBER($G138),$G138,0)</f>
        <v>46468</v>
      </c>
      <c r="T138" s="130" t="n">
        <f aca="false">IF(ISNUMBER($H138),$H138,S138)</f>
        <v>46469</v>
      </c>
      <c r="U138" s="131" t="n">
        <f aca="false">IF(ISNUMBER($A138),IF(Q138="Complete",1,N(INDEX('Scope Checklist'!$I:$I,$A138))),0)</f>
        <v>0</v>
      </c>
      <c r="V138" s="131" t="n">
        <f aca="false">IF(OR(NOT(ISNUMBER($A138)),S138=0),0,IF(Dashboard!$C$4&lt;S138,0,IF(Dashboard!$C$4&gt;=T138,1,NETWORKDAYS(S138,Dashboard!$C$4,$M$6:$M$11)/NETWORKDAYS(S138,T138,$M$6:$M$11))))</f>
        <v>0</v>
      </c>
      <c r="W138" s="129" t="n">
        <f aca="false">R138*U138</f>
        <v>0</v>
      </c>
      <c r="X138" s="129" t="n">
        <f aca="false">R138*V138</f>
        <v>0</v>
      </c>
      <c r="Y138" s="132" t="b">
        <f aca="false">AND(ISNUMBER($A138),ISNUMBER($I138),T138&gt;0,T138&lt;Dashboard!$C$4,U138&lt;1)</f>
        <v>0</v>
      </c>
      <c r="Z138" s="129" t="str">
        <f aca="false">IF(Y138,COUNTIF(Y$6:Y138,TRUE()),"")</f>
        <v/>
      </c>
      <c r="AA138" s="132" t="b">
        <f aca="false">AND(ISNUMBER($A138),ISNUMBER($I138),U138&lt;1,NOT(Y138),S138&gt;0,S138&lt;=WORKDAY(Dashboard!$C$4,10,$M$6:$M$11),T138&gt;=Dashboard!$C$4)</f>
        <v>0</v>
      </c>
      <c r="AB138" s="129" t="str">
        <f aca="false">IF(AA138,COUNTIF(AA$6:AA138,TRUE()),"")</f>
        <v/>
      </c>
    </row>
    <row r="139" customFormat="false" ht="15" hidden="false" customHeight="false" outlineLevel="0" collapsed="false">
      <c r="A139" s="133" t="n">
        <v>149</v>
      </c>
      <c r="B139" s="134" t="n">
        <f aca="false">IF('Scope Checklist'!A149="","-",'Scope Checklist'!A149)</f>
        <v>141</v>
      </c>
      <c r="C139" s="135" t="str">
        <f aca="false">'Scope Checklist'!D149</f>
        <v>Staging / photos (if listing)</v>
      </c>
      <c r="D139" s="62" t="s">
        <v>843</v>
      </c>
      <c r="E139" s="136" t="n">
        <v>0</v>
      </c>
      <c r="F139" s="136" t="n">
        <v>3</v>
      </c>
      <c r="G139" s="64" t="n">
        <f aca="false">WORKDAY(MAX(H138,H135,H162),1+E139,$M$6:$M$11)</f>
        <v>46475</v>
      </c>
      <c r="H139" s="64" t="n">
        <f aca="false">WORKDAY(G139,F139-1,$M$6:$M$11)</f>
        <v>46477</v>
      </c>
      <c r="I139" s="136" t="n">
        <v>12</v>
      </c>
      <c r="J139" s="133" t="s">
        <v>146</v>
      </c>
      <c r="K139" s="62" t="s">
        <v>844</v>
      </c>
      <c r="P139" s="129" t="str">
        <f aca="false">IF(ISNUMBER($A139),INDEX('Scope Checklist'!$B:$B,$A139),"")</f>
        <v>Closeout</v>
      </c>
      <c r="Q139" s="129" t="str">
        <f aca="false">IF(ISNUMBER($A139),INDEX('Scope Checklist'!$E:$E,$A139),"")</f>
        <v>Pending</v>
      </c>
      <c r="R139" s="129" t="n">
        <f aca="false">IF(AND(ISNUMBER($A139),ISNUMBER($I139),ISNUMBER($H139)),$I139,0)</f>
        <v>12</v>
      </c>
      <c r="S139" s="130" t="n">
        <f aca="false">IF(ISNUMBER($G139),$G139,0)</f>
        <v>46475</v>
      </c>
      <c r="T139" s="130" t="n">
        <f aca="false">IF(ISNUMBER($H139),$H139,S139)</f>
        <v>46477</v>
      </c>
      <c r="U139" s="131" t="n">
        <f aca="false">IF(ISNUMBER($A139),IF(Q139="Complete",1,N(INDEX('Scope Checklist'!$I:$I,$A139))),0)</f>
        <v>0</v>
      </c>
      <c r="V139" s="131" t="n">
        <f aca="false">IF(OR(NOT(ISNUMBER($A139)),S139=0),0,IF(Dashboard!$C$4&lt;S139,0,IF(Dashboard!$C$4&gt;=T139,1,NETWORKDAYS(S139,Dashboard!$C$4,$M$6:$M$11)/NETWORKDAYS(S139,T139,$M$6:$M$11))))</f>
        <v>0</v>
      </c>
      <c r="W139" s="129" t="n">
        <f aca="false">R139*U139</f>
        <v>0</v>
      </c>
      <c r="X139" s="129" t="n">
        <f aca="false">R139*V139</f>
        <v>0</v>
      </c>
      <c r="Y139" s="132" t="b">
        <f aca="false">AND(ISNUMBER($A139),ISNUMBER($I139),T139&gt;0,T139&lt;Dashboard!$C$4,U139&lt;1)</f>
        <v>0</v>
      </c>
      <c r="Z139" s="129" t="str">
        <f aca="false">IF(Y139,COUNTIF(Y$6:Y139,TRUE()),"")</f>
        <v/>
      </c>
      <c r="AA139" s="132" t="b">
        <f aca="false">AND(ISNUMBER($A139),ISNUMBER($I139),U139&lt;1,NOT(Y139),S139&gt;0,S139&lt;=WORKDAY(Dashboard!$C$4,10,$M$6:$M$11),T139&gt;=Dashboard!$C$4)</f>
        <v>0</v>
      </c>
      <c r="AB139" s="129" t="str">
        <f aca="false">IF(AA139,COUNTIF(AA$6:AA139,TRUE()),"")</f>
        <v/>
      </c>
    </row>
    <row r="140" customFormat="false" ht="15" hidden="false" customHeight="false" outlineLevel="0" collapsed="false">
      <c r="A140" s="59" t="s">
        <v>447</v>
      </c>
      <c r="B140" s="127"/>
      <c r="C140" s="127"/>
      <c r="D140" s="127"/>
      <c r="E140" s="127"/>
      <c r="F140" s="127"/>
      <c r="G140" s="127"/>
      <c r="H140" s="127"/>
      <c r="I140" s="127"/>
      <c r="J140" s="127"/>
      <c r="K140" s="127"/>
      <c r="P140" s="129" t="str">
        <f aca="false">IF(ISNUMBER($A140),INDEX('Scope Checklist'!$B:$B,$A140),"")</f>
        <v/>
      </c>
      <c r="Q140" s="129" t="str">
        <f aca="false">IF(ISNUMBER($A140),INDEX('Scope Checklist'!$E:$E,$A140),"")</f>
        <v/>
      </c>
      <c r="R140" s="129" t="n">
        <f aca="false">IF(AND(ISNUMBER($A140),ISNUMBER($I140),ISNUMBER($H140)),$I140,0)</f>
        <v>0</v>
      </c>
      <c r="S140" s="130" t="n">
        <f aca="false">IF(ISNUMBER($G140),$G140,0)</f>
        <v>0</v>
      </c>
      <c r="T140" s="130" t="n">
        <f aca="false">IF(ISNUMBER($H140),$H140,S140)</f>
        <v>0</v>
      </c>
      <c r="U140" s="131" t="n">
        <f aca="false">IF(ISNUMBER($A140),IF(Q140="Complete",1,N(INDEX('Scope Checklist'!$I:$I,$A140))),0)</f>
        <v>0</v>
      </c>
      <c r="V140" s="131" t="n">
        <f aca="false">IF(OR(NOT(ISNUMBER($A140)),S140=0),0,IF(Dashboard!$C$4&lt;S140,0,IF(Dashboard!$C$4&gt;=T140,1,NETWORKDAYS(S140,Dashboard!$C$4,$M$6:$M$11)/NETWORKDAYS(S140,T140,$M$6:$M$11))))</f>
        <v>0</v>
      </c>
      <c r="W140" s="129" t="n">
        <f aca="false">R140*U140</f>
        <v>0</v>
      </c>
      <c r="X140" s="129" t="n">
        <f aca="false">R140*V140</f>
        <v>0</v>
      </c>
      <c r="Y140" s="132" t="b">
        <f aca="false">AND(ISNUMBER($A140),ISNUMBER($I140),T140&gt;0,T140&lt;Dashboard!$C$4,U140&lt;1)</f>
        <v>0</v>
      </c>
      <c r="Z140" s="129" t="str">
        <f aca="false">IF(Y140,COUNTIF(Y$6:Y140,TRUE()),"")</f>
        <v/>
      </c>
      <c r="AA140" s="132" t="b">
        <f aca="false">AND(ISNUMBER($A140),ISNUMBER($I140),U140&lt;1,NOT(Y140),S140&gt;0,S140&lt;=WORKDAY(Dashboard!$C$4,10,$M$6:$M$11),T140&gt;=Dashboard!$C$4)</f>
        <v>0</v>
      </c>
      <c r="AB140" s="129" t="str">
        <f aca="false">IF(AA140,COUNTIF(AA$6:AA140,TRUE()),"")</f>
        <v/>
      </c>
    </row>
    <row r="141" customFormat="false" ht="15" hidden="false" customHeight="false" outlineLevel="0" collapsed="false">
      <c r="A141" s="133" t="n">
        <v>155</v>
      </c>
      <c r="B141" s="134" t="n">
        <f aca="false">IF('Scope Checklist'!A155="","-",'Scope Checklist'!A155)</f>
        <v>18</v>
      </c>
      <c r="C141" s="135" t="str">
        <f aca="false">'Scope Checklist'!D155</f>
        <v>Fascia + trim repaint</v>
      </c>
      <c r="D141" s="62" t="s">
        <v>845</v>
      </c>
      <c r="E141" s="136" t="n">
        <v>0</v>
      </c>
      <c r="F141" s="136" t="n">
        <v>3</v>
      </c>
      <c r="G141" s="64" t="n">
        <f aca="false">WORKDAY(H13,1+E141,$M$6:$M$11)</f>
        <v>46335</v>
      </c>
      <c r="H141" s="64" t="n">
        <f aca="false">WORKDAY(G141,F141-1,$M$6:$M$11)</f>
        <v>46338</v>
      </c>
      <c r="I141" s="136" t="n">
        <v>24</v>
      </c>
      <c r="J141" s="133" t="s">
        <v>215</v>
      </c>
      <c r="K141" s="62" t="s">
        <v>846</v>
      </c>
      <c r="P141" s="129" t="str">
        <f aca="false">IF(ISNUMBER($A141),INDEX('Scope Checklist'!$B:$B,$A141),"")</f>
        <v>Exterior</v>
      </c>
      <c r="Q141" s="129" t="str">
        <f aca="false">IF(ISNUMBER($A141),INDEX('Scope Checklist'!$E:$E,$A141),"")</f>
        <v>Pending</v>
      </c>
      <c r="R141" s="129" t="n">
        <f aca="false">IF(AND(ISNUMBER($A141),ISNUMBER($I141),ISNUMBER($H141)),$I141,0)</f>
        <v>24</v>
      </c>
      <c r="S141" s="130" t="n">
        <f aca="false">IF(ISNUMBER($G141),$G141,0)</f>
        <v>46335</v>
      </c>
      <c r="T141" s="130" t="n">
        <f aca="false">IF(ISNUMBER($H141),$H141,S141)</f>
        <v>46338</v>
      </c>
      <c r="U141" s="131" t="n">
        <f aca="false">IF(ISNUMBER($A141),IF(Q141="Complete",1,N(INDEX('Scope Checklist'!$I:$I,$A141))),0)</f>
        <v>0</v>
      </c>
      <c r="V141" s="131" t="n">
        <f aca="false">IF(OR(NOT(ISNUMBER($A141)),S141=0),0,IF(Dashboard!$C$4&lt;S141,0,IF(Dashboard!$C$4&gt;=T141,1,NETWORKDAYS(S141,Dashboard!$C$4,$M$6:$M$11)/NETWORKDAYS(S141,T141,$M$6:$M$11))))</f>
        <v>0</v>
      </c>
      <c r="W141" s="129" t="n">
        <f aca="false">R141*U141</f>
        <v>0</v>
      </c>
      <c r="X141" s="129" t="n">
        <f aca="false">R141*V141</f>
        <v>0</v>
      </c>
      <c r="Y141" s="132" t="b">
        <f aca="false">AND(ISNUMBER($A141),ISNUMBER($I141),T141&gt;0,T141&lt;Dashboard!$C$4,U141&lt;1)</f>
        <v>0</v>
      </c>
      <c r="Z141" s="129" t="str">
        <f aca="false">IF(Y141,COUNTIF(Y$6:Y141,TRUE()),"")</f>
        <v/>
      </c>
      <c r="AA141" s="132" t="b">
        <f aca="false">AND(ISNUMBER($A141),ISNUMBER($I141),U141&lt;1,NOT(Y141),S141&gt;0,S141&lt;=WORKDAY(Dashboard!$C$4,10,$M$6:$M$11),T141&gt;=Dashboard!$C$4)</f>
        <v>0</v>
      </c>
      <c r="AB141" s="129" t="str">
        <f aca="false">IF(AA141,COUNTIF(AA$6:AA141,TRUE()),"")</f>
        <v/>
      </c>
    </row>
    <row r="142" customFormat="false" ht="15" hidden="false" customHeight="false" outlineLevel="0" collapsed="false">
      <c r="A142" s="133" t="n">
        <v>156</v>
      </c>
      <c r="B142" s="134" t="n">
        <f aca="false">IF('Scope Checklist'!A156="","-",'Scope Checklist'!A156)</f>
        <v>19</v>
      </c>
      <c r="C142" s="135" t="str">
        <f aca="false">'Scope Checklist'!D156</f>
        <v>Soffit - replace vents, paint vents</v>
      </c>
      <c r="D142" s="62" t="s">
        <v>847</v>
      </c>
      <c r="E142" s="136" t="n">
        <v>0</v>
      </c>
      <c r="F142" s="136" t="n">
        <v>2</v>
      </c>
      <c r="G142" s="64" t="n">
        <f aca="false">WORKDAY(G141,E142,$M$6:$M$11)</f>
        <v>46335</v>
      </c>
      <c r="H142" s="64" t="n">
        <f aca="false">WORKDAY(G142,F142-1,$M$6:$M$11)</f>
        <v>46336</v>
      </c>
      <c r="I142" s="136" t="n">
        <v>12</v>
      </c>
      <c r="J142" s="133" t="s">
        <v>215</v>
      </c>
      <c r="K142" s="62" t="s">
        <v>722</v>
      </c>
      <c r="P142" s="129" t="str">
        <f aca="false">IF(ISNUMBER($A142),INDEX('Scope Checklist'!$B:$B,$A142),"")</f>
        <v>Exterior</v>
      </c>
      <c r="Q142" s="129" t="str">
        <f aca="false">IF(ISNUMBER($A142),INDEX('Scope Checklist'!$E:$E,$A142),"")</f>
        <v>Pending</v>
      </c>
      <c r="R142" s="129" t="n">
        <f aca="false">IF(AND(ISNUMBER($A142),ISNUMBER($I142),ISNUMBER($H142)),$I142,0)</f>
        <v>12</v>
      </c>
      <c r="S142" s="130" t="n">
        <f aca="false">IF(ISNUMBER($G142),$G142,0)</f>
        <v>46335</v>
      </c>
      <c r="T142" s="130" t="n">
        <f aca="false">IF(ISNUMBER($H142),$H142,S142)</f>
        <v>46336</v>
      </c>
      <c r="U142" s="131" t="n">
        <f aca="false">IF(ISNUMBER($A142),IF(Q142="Complete",1,N(INDEX('Scope Checklist'!$I:$I,$A142))),0)</f>
        <v>0</v>
      </c>
      <c r="V142" s="131" t="n">
        <f aca="false">IF(OR(NOT(ISNUMBER($A142)),S142=0),0,IF(Dashboard!$C$4&lt;S142,0,IF(Dashboard!$C$4&gt;=T142,1,NETWORKDAYS(S142,Dashboard!$C$4,$M$6:$M$11)/NETWORKDAYS(S142,T142,$M$6:$M$11))))</f>
        <v>0</v>
      </c>
      <c r="W142" s="129" t="n">
        <f aca="false">R142*U142</f>
        <v>0</v>
      </c>
      <c r="X142" s="129" t="n">
        <f aca="false">R142*V142</f>
        <v>0</v>
      </c>
      <c r="Y142" s="132" t="b">
        <f aca="false">AND(ISNUMBER($A142),ISNUMBER($I142),T142&gt;0,T142&lt;Dashboard!$C$4,U142&lt;1)</f>
        <v>0</v>
      </c>
      <c r="Z142" s="129" t="str">
        <f aca="false">IF(Y142,COUNTIF(Y$6:Y142,TRUE()),"")</f>
        <v/>
      </c>
      <c r="AA142" s="132" t="b">
        <f aca="false">AND(ISNUMBER($A142),ISNUMBER($I142),U142&lt;1,NOT(Y142),S142&gt;0,S142&lt;=WORKDAY(Dashboard!$C$4,10,$M$6:$M$11),T142&gt;=Dashboard!$C$4)</f>
        <v>0</v>
      </c>
      <c r="AB142" s="129" t="str">
        <f aca="false">IF(AA142,COUNTIF(AA$6:AA142,TRUE()),"")</f>
        <v/>
      </c>
    </row>
    <row r="143" customFormat="false" ht="15" hidden="false" customHeight="false" outlineLevel="0" collapsed="false">
      <c r="A143" s="133" t="n">
        <v>158</v>
      </c>
      <c r="B143" s="134" t="n">
        <f aca="false">IF('Scope Checklist'!A158="","-",'Scope Checklist'!A158)</f>
        <v>21</v>
      </c>
      <c r="C143" s="135" t="str">
        <f aca="false">'Scope Checklist'!D158</f>
        <v>Stucco texture</v>
      </c>
      <c r="D143" s="62" t="s">
        <v>848</v>
      </c>
      <c r="E143" s="136" t="n">
        <v>0</v>
      </c>
      <c r="F143" s="136" t="n">
        <v>5</v>
      </c>
      <c r="G143" s="64" t="n">
        <f aca="false">WORKDAY(H13,1+E143,$M$6:$M$11)</f>
        <v>46335</v>
      </c>
      <c r="H143" s="64" t="n">
        <f aca="false">WORKDAY(G143,F143-1,$M$6:$M$11)</f>
        <v>46342</v>
      </c>
      <c r="I143" s="136" t="n">
        <v>40</v>
      </c>
      <c r="J143" s="133" t="s">
        <v>391</v>
      </c>
      <c r="K143" s="62" t="s">
        <v>722</v>
      </c>
      <c r="P143" s="129" t="str">
        <f aca="false">IF(ISNUMBER($A143),INDEX('Scope Checklist'!$B:$B,$A143),"")</f>
        <v>Exterior</v>
      </c>
      <c r="Q143" s="129" t="str">
        <f aca="false">IF(ISNUMBER($A143),INDEX('Scope Checklist'!$E:$E,$A143),"")</f>
        <v>Pending</v>
      </c>
      <c r="R143" s="129" t="n">
        <f aca="false">IF(AND(ISNUMBER($A143),ISNUMBER($I143),ISNUMBER($H143)),$I143,0)</f>
        <v>40</v>
      </c>
      <c r="S143" s="130" t="n">
        <f aca="false">IF(ISNUMBER($G143),$G143,0)</f>
        <v>46335</v>
      </c>
      <c r="T143" s="130" t="n">
        <f aca="false">IF(ISNUMBER($H143),$H143,S143)</f>
        <v>46342</v>
      </c>
      <c r="U143" s="131" t="n">
        <f aca="false">IF(ISNUMBER($A143),IF(Q143="Complete",1,N(INDEX('Scope Checklist'!$I:$I,$A143))),0)</f>
        <v>0</v>
      </c>
      <c r="V143" s="131" t="n">
        <f aca="false">IF(OR(NOT(ISNUMBER($A143)),S143=0),0,IF(Dashboard!$C$4&lt;S143,0,IF(Dashboard!$C$4&gt;=T143,1,NETWORKDAYS(S143,Dashboard!$C$4,$M$6:$M$11)/NETWORKDAYS(S143,T143,$M$6:$M$11))))</f>
        <v>0</v>
      </c>
      <c r="W143" s="129" t="n">
        <f aca="false">R143*U143</f>
        <v>0</v>
      </c>
      <c r="X143" s="129" t="n">
        <f aca="false">R143*V143</f>
        <v>0</v>
      </c>
      <c r="Y143" s="132" t="b">
        <f aca="false">AND(ISNUMBER($A143),ISNUMBER($I143),T143&gt;0,T143&lt;Dashboard!$C$4,U143&lt;1)</f>
        <v>0</v>
      </c>
      <c r="Z143" s="129" t="str">
        <f aca="false">IF(Y143,COUNTIF(Y$6:Y143,TRUE()),"")</f>
        <v/>
      </c>
      <c r="AA143" s="132" t="b">
        <f aca="false">AND(ISNUMBER($A143),ISNUMBER($I143),U143&lt;1,NOT(Y143),S143&gt;0,S143&lt;=WORKDAY(Dashboard!$C$4,10,$M$6:$M$11),T143&gt;=Dashboard!$C$4)</f>
        <v>0</v>
      </c>
      <c r="AB143" s="129" t="str">
        <f aca="false">IF(AA143,COUNTIF(AA$6:AA143,TRUE()),"")</f>
        <v/>
      </c>
    </row>
    <row r="144" customFormat="false" ht="15" hidden="false" customHeight="false" outlineLevel="0" collapsed="false">
      <c r="A144" s="133" t="n">
        <v>159</v>
      </c>
      <c r="B144" s="134" t="n">
        <f aca="false">IF('Scope Checklist'!A159="","-",'Scope Checklist'!A159)</f>
        <v>22</v>
      </c>
      <c r="C144" s="135" t="str">
        <f aca="false">'Scope Checklist'!D159</f>
        <v>Paint over textured stucco areas</v>
      </c>
      <c r="D144" s="62" t="s">
        <v>849</v>
      </c>
      <c r="E144" s="136" t="n">
        <v>0</v>
      </c>
      <c r="F144" s="136" t="n">
        <v>2</v>
      </c>
      <c r="G144" s="64" t="n">
        <f aca="false">WORKDAY(H143,1+E144,$M$6:$M$11)</f>
        <v>46343</v>
      </c>
      <c r="H144" s="64" t="n">
        <f aca="false">WORKDAY(G144,F144-1,$M$6:$M$11)</f>
        <v>46344</v>
      </c>
      <c r="I144" s="136" t="n">
        <v>16</v>
      </c>
      <c r="J144" s="133" t="s">
        <v>215</v>
      </c>
      <c r="K144" s="62" t="s">
        <v>722</v>
      </c>
      <c r="P144" s="129" t="str">
        <f aca="false">IF(ISNUMBER($A144),INDEX('Scope Checklist'!$B:$B,$A144),"")</f>
        <v>Exterior</v>
      </c>
      <c r="Q144" s="129" t="str">
        <f aca="false">IF(ISNUMBER($A144),INDEX('Scope Checklist'!$E:$E,$A144),"")</f>
        <v>Pending</v>
      </c>
      <c r="R144" s="129" t="n">
        <f aca="false">IF(AND(ISNUMBER($A144),ISNUMBER($I144),ISNUMBER($H144)),$I144,0)</f>
        <v>16</v>
      </c>
      <c r="S144" s="130" t="n">
        <f aca="false">IF(ISNUMBER($G144),$G144,0)</f>
        <v>46343</v>
      </c>
      <c r="T144" s="130" t="n">
        <f aca="false">IF(ISNUMBER($H144),$H144,S144)</f>
        <v>46344</v>
      </c>
      <c r="U144" s="131" t="n">
        <f aca="false">IF(ISNUMBER($A144),IF(Q144="Complete",1,N(INDEX('Scope Checklist'!$I:$I,$A144))),0)</f>
        <v>0</v>
      </c>
      <c r="V144" s="131" t="n">
        <f aca="false">IF(OR(NOT(ISNUMBER($A144)),S144=0),0,IF(Dashboard!$C$4&lt;S144,0,IF(Dashboard!$C$4&gt;=T144,1,NETWORKDAYS(S144,Dashboard!$C$4,$M$6:$M$11)/NETWORKDAYS(S144,T144,$M$6:$M$11))))</f>
        <v>0</v>
      </c>
      <c r="W144" s="129" t="n">
        <f aca="false">R144*U144</f>
        <v>0</v>
      </c>
      <c r="X144" s="129" t="n">
        <f aca="false">R144*V144</f>
        <v>0</v>
      </c>
      <c r="Y144" s="132" t="b">
        <f aca="false">AND(ISNUMBER($A144),ISNUMBER($I144),T144&gt;0,T144&lt;Dashboard!$C$4,U144&lt;1)</f>
        <v>0</v>
      </c>
      <c r="Z144" s="129" t="str">
        <f aca="false">IF(Y144,COUNTIF(Y$6:Y144,TRUE()),"")</f>
        <v/>
      </c>
      <c r="AA144" s="132" t="b">
        <f aca="false">AND(ISNUMBER($A144),ISNUMBER($I144),U144&lt;1,NOT(Y144),S144&gt;0,S144&lt;=WORKDAY(Dashboard!$C$4,10,$M$6:$M$11),T144&gt;=Dashboard!$C$4)</f>
        <v>0</v>
      </c>
      <c r="AB144" s="129" t="str">
        <f aca="false">IF(AA144,COUNTIF(AA$6:AA144,TRUE()),"")</f>
        <v/>
      </c>
    </row>
    <row r="145" customFormat="false" ht="15" hidden="false" customHeight="false" outlineLevel="0" collapsed="false">
      <c r="A145" s="133" t="n">
        <v>160</v>
      </c>
      <c r="B145" s="134" t="n">
        <f aca="false">IF('Scope Checklist'!A160="","-",'Scope Checklist'!A160)</f>
        <v>23</v>
      </c>
      <c r="C145" s="135" t="str">
        <f aca="false">'Scope Checklist'!D160</f>
        <v>Exterior pressure washing - final closeout</v>
      </c>
      <c r="D145" s="62" t="s">
        <v>850</v>
      </c>
      <c r="E145" s="136" t="n">
        <v>0</v>
      </c>
      <c r="F145" s="136" t="n">
        <v>1</v>
      </c>
      <c r="G145" s="64" t="n">
        <f aca="false">WORKDAY(G137,E145,$M$6:$M$11)</f>
        <v>46465</v>
      </c>
      <c r="H145" s="64" t="n">
        <f aca="false">WORKDAY(G145,F145-1,$M$6:$M$11)</f>
        <v>46465</v>
      </c>
      <c r="I145" s="136" t="n">
        <v>6</v>
      </c>
      <c r="J145" s="133" t="s">
        <v>194</v>
      </c>
      <c r="K145" s="62" t="s">
        <v>722</v>
      </c>
      <c r="P145" s="129" t="str">
        <f aca="false">IF(ISNUMBER($A145),INDEX('Scope Checklist'!$B:$B,$A145),"")</f>
        <v>Exterior</v>
      </c>
      <c r="Q145" s="129" t="str">
        <f aca="false">IF(ISNUMBER($A145),INDEX('Scope Checklist'!$E:$E,$A145),"")</f>
        <v>Pending</v>
      </c>
      <c r="R145" s="129" t="n">
        <f aca="false">IF(AND(ISNUMBER($A145),ISNUMBER($I145),ISNUMBER($H145)),$I145,0)</f>
        <v>6</v>
      </c>
      <c r="S145" s="130" t="n">
        <f aca="false">IF(ISNUMBER($G145),$G145,0)</f>
        <v>46465</v>
      </c>
      <c r="T145" s="130" t="n">
        <f aca="false">IF(ISNUMBER($H145),$H145,S145)</f>
        <v>46465</v>
      </c>
      <c r="U145" s="131" t="n">
        <f aca="false">IF(ISNUMBER($A145),IF(Q145="Complete",1,N(INDEX('Scope Checklist'!$I:$I,$A145))),0)</f>
        <v>0</v>
      </c>
      <c r="V145" s="131" t="n">
        <f aca="false">IF(OR(NOT(ISNUMBER($A145)),S145=0),0,IF(Dashboard!$C$4&lt;S145,0,IF(Dashboard!$C$4&gt;=T145,1,NETWORKDAYS(S145,Dashboard!$C$4,$M$6:$M$11)/NETWORKDAYS(S145,T145,$M$6:$M$11))))</f>
        <v>0</v>
      </c>
      <c r="W145" s="129" t="n">
        <f aca="false">R145*U145</f>
        <v>0</v>
      </c>
      <c r="X145" s="129" t="n">
        <f aca="false">R145*V145</f>
        <v>0</v>
      </c>
      <c r="Y145" s="132" t="b">
        <f aca="false">AND(ISNUMBER($A145),ISNUMBER($I145),T145&gt;0,T145&lt;Dashboard!$C$4,U145&lt;1)</f>
        <v>0</v>
      </c>
      <c r="Z145" s="129" t="str">
        <f aca="false">IF(Y145,COUNTIF(Y$6:Y145,TRUE()),"")</f>
        <v/>
      </c>
      <c r="AA145" s="132" t="b">
        <f aca="false">AND(ISNUMBER($A145),ISNUMBER($I145),U145&lt;1,NOT(Y145),S145&gt;0,S145&lt;=WORKDAY(Dashboard!$C$4,10,$M$6:$M$11),T145&gt;=Dashboard!$C$4)</f>
        <v>0</v>
      </c>
      <c r="AB145" s="129" t="str">
        <f aca="false">IF(AA145,COUNTIF(AA$6:AA145,TRUE()),"")</f>
        <v/>
      </c>
    </row>
    <row r="146" customFormat="false" ht="23.85" hidden="false" customHeight="false" outlineLevel="0" collapsed="false">
      <c r="A146" s="133" t="n">
        <v>164</v>
      </c>
      <c r="B146" s="134" t="n">
        <f aca="false">IF('Scope Checklist'!A164="","-",'Scope Checklist'!A164)</f>
        <v>27</v>
      </c>
      <c r="C146" s="135" t="str">
        <f aca="false">'Scope Checklist'!D164</f>
        <v>Front entry door</v>
      </c>
      <c r="D146" s="62" t="s">
        <v>851</v>
      </c>
      <c r="E146" s="136" t="n">
        <v>0</v>
      </c>
      <c r="F146" s="136" t="n">
        <v>35</v>
      </c>
      <c r="G146" s="64" t="n">
        <f aca="false">WORKDAY(H11,1+E146,$M$6:$M$11)</f>
        <v>46335</v>
      </c>
      <c r="H146" s="64" t="n">
        <f aca="false">WORKDAY(G146,F146-1,$M$6:$M$11)</f>
        <v>46391</v>
      </c>
      <c r="I146" s="136" t="n">
        <v>8</v>
      </c>
      <c r="J146" s="133" t="s">
        <v>146</v>
      </c>
      <c r="K146" s="62" t="s">
        <v>852</v>
      </c>
      <c r="P146" s="129" t="str">
        <f aca="false">IF(ISNUMBER($A146),INDEX('Scope Checklist'!$B:$B,$A146),"")</f>
        <v>Exterior</v>
      </c>
      <c r="Q146" s="129" t="str">
        <f aca="false">IF(ISNUMBER($A146),INDEX('Scope Checklist'!$E:$E,$A146),"")</f>
        <v>Pending</v>
      </c>
      <c r="R146" s="129" t="n">
        <f aca="false">IF(AND(ISNUMBER($A146),ISNUMBER($I146),ISNUMBER($H146)),$I146,0)</f>
        <v>8</v>
      </c>
      <c r="S146" s="130" t="n">
        <f aca="false">IF(ISNUMBER($G146),$G146,0)</f>
        <v>46335</v>
      </c>
      <c r="T146" s="130" t="n">
        <f aca="false">IF(ISNUMBER($H146),$H146,S146)</f>
        <v>46391</v>
      </c>
      <c r="U146" s="131" t="n">
        <f aca="false">IF(ISNUMBER($A146),IF(Q146="Complete",1,N(INDEX('Scope Checklist'!$I:$I,$A146))),0)</f>
        <v>0</v>
      </c>
      <c r="V146" s="131" t="n">
        <f aca="false">IF(OR(NOT(ISNUMBER($A146)),S146=0),0,IF(Dashboard!$C$4&lt;S146,0,IF(Dashboard!$C$4&gt;=T146,1,NETWORKDAYS(S146,Dashboard!$C$4,$M$6:$M$11)/NETWORKDAYS(S146,T146,$M$6:$M$11))))</f>
        <v>0</v>
      </c>
      <c r="W146" s="129" t="n">
        <f aca="false">R146*U146</f>
        <v>0</v>
      </c>
      <c r="X146" s="129" t="n">
        <f aca="false">R146*V146</f>
        <v>0</v>
      </c>
      <c r="Y146" s="132" t="b">
        <f aca="false">AND(ISNUMBER($A146),ISNUMBER($I146),T146&gt;0,T146&lt;Dashboard!$C$4,U146&lt;1)</f>
        <v>0</v>
      </c>
      <c r="Z146" s="129" t="str">
        <f aca="false">IF(Y146,COUNTIF(Y$6:Y146,TRUE()),"")</f>
        <v/>
      </c>
      <c r="AA146" s="132" t="b">
        <f aca="false">AND(ISNUMBER($A146),ISNUMBER($I146),U146&lt;1,NOT(Y146),S146&gt;0,S146&lt;=WORKDAY(Dashboard!$C$4,10,$M$6:$M$11),T146&gt;=Dashboard!$C$4)</f>
        <v>0</v>
      </c>
      <c r="AB146" s="129" t="str">
        <f aca="false">IF(AA146,COUNTIF(AA$6:AA146,TRUE()),"")</f>
        <v/>
      </c>
    </row>
    <row r="147" customFormat="false" ht="15" hidden="false" customHeight="false" outlineLevel="0" collapsed="false">
      <c r="A147" s="133" t="n">
        <v>165</v>
      </c>
      <c r="B147" s="134" t="n">
        <f aca="false">IF('Scope Checklist'!A165="","-",'Scope Checklist'!A165)</f>
        <v>28</v>
      </c>
      <c r="C147" s="135" t="str">
        <f aca="false">'Scope Checklist'!D165</f>
        <v>Grid decoration - patio doors + kitchen door</v>
      </c>
      <c r="D147" s="62" t="s">
        <v>853</v>
      </c>
      <c r="E147" s="136" t="n">
        <v>0</v>
      </c>
      <c r="F147" s="136" t="n">
        <v>10</v>
      </c>
      <c r="G147" s="64" t="n">
        <f aca="false">WORKDAY(H11,1+E147,$M$6:$M$11)</f>
        <v>46335</v>
      </c>
      <c r="H147" s="64" t="n">
        <f aca="false">WORKDAY(G147,F147-1,$M$6:$M$11)</f>
        <v>46349</v>
      </c>
      <c r="I147" s="136" t="n">
        <v>4</v>
      </c>
      <c r="J147" s="133" t="s">
        <v>146</v>
      </c>
      <c r="K147" s="62" t="s">
        <v>854</v>
      </c>
      <c r="P147" s="129" t="str">
        <f aca="false">IF(ISNUMBER($A147),INDEX('Scope Checklist'!$B:$B,$A147),"")</f>
        <v>Exterior</v>
      </c>
      <c r="Q147" s="129" t="str">
        <f aca="false">IF(ISNUMBER($A147),INDEX('Scope Checklist'!$E:$E,$A147),"")</f>
        <v>Pending</v>
      </c>
      <c r="R147" s="129" t="n">
        <f aca="false">IF(AND(ISNUMBER($A147),ISNUMBER($I147),ISNUMBER($H147)),$I147,0)</f>
        <v>4</v>
      </c>
      <c r="S147" s="130" t="n">
        <f aca="false">IF(ISNUMBER($G147),$G147,0)</f>
        <v>46335</v>
      </c>
      <c r="T147" s="130" t="n">
        <f aca="false">IF(ISNUMBER($H147),$H147,S147)</f>
        <v>46349</v>
      </c>
      <c r="U147" s="131" t="n">
        <f aca="false">IF(ISNUMBER($A147),IF(Q147="Complete",1,N(INDEX('Scope Checklist'!$I:$I,$A147))),0)</f>
        <v>0</v>
      </c>
      <c r="V147" s="131" t="n">
        <f aca="false">IF(OR(NOT(ISNUMBER($A147)),S147=0),0,IF(Dashboard!$C$4&lt;S147,0,IF(Dashboard!$C$4&gt;=T147,1,NETWORKDAYS(S147,Dashboard!$C$4,$M$6:$M$11)/NETWORKDAYS(S147,T147,$M$6:$M$11))))</f>
        <v>0</v>
      </c>
      <c r="W147" s="129" t="n">
        <f aca="false">R147*U147</f>
        <v>0</v>
      </c>
      <c r="X147" s="129" t="n">
        <f aca="false">R147*V147</f>
        <v>0</v>
      </c>
      <c r="Y147" s="132" t="b">
        <f aca="false">AND(ISNUMBER($A147),ISNUMBER($I147),T147&gt;0,T147&lt;Dashboard!$C$4,U147&lt;1)</f>
        <v>0</v>
      </c>
      <c r="Z147" s="129" t="str">
        <f aca="false">IF(Y147,COUNTIF(Y$6:Y147,TRUE()),"")</f>
        <v/>
      </c>
      <c r="AA147" s="132" t="b">
        <f aca="false">AND(ISNUMBER($A147),ISNUMBER($I147),U147&lt;1,NOT(Y147),S147&gt;0,S147&lt;=WORKDAY(Dashboard!$C$4,10,$M$6:$M$11),T147&gt;=Dashboard!$C$4)</f>
        <v>0</v>
      </c>
      <c r="AB147" s="129" t="str">
        <f aca="false">IF(AA147,COUNTIF(AA$6:AA147,TRUE()),"")</f>
        <v/>
      </c>
    </row>
    <row r="148" customFormat="false" ht="15" hidden="false" customHeight="false" outlineLevel="0" collapsed="false">
      <c r="A148" s="133" t="n">
        <v>166</v>
      </c>
      <c r="B148" s="134" t="n">
        <f aca="false">IF('Scope Checklist'!A166="","-",'Scope Checklist'!A166)</f>
        <v>29</v>
      </c>
      <c r="C148" s="135" t="str">
        <f aca="false">'Scope Checklist'!D166</f>
        <v>Exterior door handles</v>
      </c>
      <c r="D148" s="62" t="s">
        <v>855</v>
      </c>
      <c r="E148" s="136" t="n">
        <v>0</v>
      </c>
      <c r="F148" s="136" t="n">
        <v>1</v>
      </c>
      <c r="G148" s="64" t="n">
        <f aca="false">WORKDAY(H146,1+E148,$M$6:$M$11)</f>
        <v>46392</v>
      </c>
      <c r="H148" s="64" t="n">
        <f aca="false">WORKDAY(G148,F148-1,$M$6:$M$11)</f>
        <v>46392</v>
      </c>
      <c r="I148" s="136" t="n">
        <v>2</v>
      </c>
      <c r="J148" s="133" t="s">
        <v>146</v>
      </c>
      <c r="K148" s="62" t="s">
        <v>722</v>
      </c>
      <c r="P148" s="129" t="str">
        <f aca="false">IF(ISNUMBER($A148),INDEX('Scope Checklist'!$B:$B,$A148),"")</f>
        <v>Exterior</v>
      </c>
      <c r="Q148" s="129" t="str">
        <f aca="false">IF(ISNUMBER($A148),INDEX('Scope Checklist'!$E:$E,$A148),"")</f>
        <v>Pending</v>
      </c>
      <c r="R148" s="129" t="n">
        <f aca="false">IF(AND(ISNUMBER($A148),ISNUMBER($I148),ISNUMBER($H148)),$I148,0)</f>
        <v>2</v>
      </c>
      <c r="S148" s="130" t="n">
        <f aca="false">IF(ISNUMBER($G148),$G148,0)</f>
        <v>46392</v>
      </c>
      <c r="T148" s="130" t="n">
        <f aca="false">IF(ISNUMBER($H148),$H148,S148)</f>
        <v>46392</v>
      </c>
      <c r="U148" s="131" t="n">
        <f aca="false">IF(ISNUMBER($A148),IF(Q148="Complete",1,N(INDEX('Scope Checklist'!$I:$I,$A148))),0)</f>
        <v>0</v>
      </c>
      <c r="V148" s="131" t="n">
        <f aca="false">IF(OR(NOT(ISNUMBER($A148)),S148=0),0,IF(Dashboard!$C$4&lt;S148,0,IF(Dashboard!$C$4&gt;=T148,1,NETWORKDAYS(S148,Dashboard!$C$4,$M$6:$M$11)/NETWORKDAYS(S148,T148,$M$6:$M$11))))</f>
        <v>0</v>
      </c>
      <c r="W148" s="129" t="n">
        <f aca="false">R148*U148</f>
        <v>0</v>
      </c>
      <c r="X148" s="129" t="n">
        <f aca="false">R148*V148</f>
        <v>0</v>
      </c>
      <c r="Y148" s="132" t="b">
        <f aca="false">AND(ISNUMBER($A148),ISNUMBER($I148),T148&gt;0,T148&lt;Dashboard!$C$4,U148&lt;1)</f>
        <v>0</v>
      </c>
      <c r="Z148" s="129" t="str">
        <f aca="false">IF(Y148,COUNTIF(Y$6:Y148,TRUE()),"")</f>
        <v/>
      </c>
      <c r="AA148" s="132" t="b">
        <f aca="false">AND(ISNUMBER($A148),ISNUMBER($I148),U148&lt;1,NOT(Y148),S148&gt;0,S148&lt;=WORKDAY(Dashboard!$C$4,10,$M$6:$M$11),T148&gt;=Dashboard!$C$4)</f>
        <v>0</v>
      </c>
      <c r="AB148" s="129" t="str">
        <f aca="false">IF(AA148,COUNTIF(AA$6:AA148,TRUE()),"")</f>
        <v/>
      </c>
    </row>
    <row r="149" customFormat="false" ht="15" hidden="false" customHeight="false" outlineLevel="0" collapsed="false">
      <c r="A149" s="133" t="n">
        <v>167</v>
      </c>
      <c r="B149" s="134" t="n">
        <f aca="false">IF('Scope Checklist'!A167="","-",'Scope Checklist'!A167)</f>
        <v>30</v>
      </c>
      <c r="C149" s="135" t="str">
        <f aca="false">'Scope Checklist'!D167</f>
        <v>Garage door (exterior) - hurricane rated</v>
      </c>
      <c r="D149" s="62" t="s">
        <v>856</v>
      </c>
      <c r="E149" s="136" t="n">
        <v>0</v>
      </c>
      <c r="F149" s="136" t="n">
        <v>15</v>
      </c>
      <c r="G149" s="64" t="n">
        <f aca="false">WORKDAY(H28,1+E149,$M$6:$M$11)</f>
        <v>46357</v>
      </c>
      <c r="H149" s="64" t="n">
        <f aca="false">WORKDAY(G149,F149-1,$M$6:$M$11)</f>
        <v>46377</v>
      </c>
      <c r="I149" s="136" t="n">
        <v>16</v>
      </c>
      <c r="J149" s="133" t="s">
        <v>483</v>
      </c>
      <c r="K149" s="62" t="s">
        <v>857</v>
      </c>
      <c r="P149" s="129" t="str">
        <f aca="false">IF(ISNUMBER($A149),INDEX('Scope Checklist'!$B:$B,$A149),"")</f>
        <v>Exterior</v>
      </c>
      <c r="Q149" s="129" t="str">
        <f aca="false">IF(ISNUMBER($A149),INDEX('Scope Checklist'!$E:$E,$A149),"")</f>
        <v>Pending</v>
      </c>
      <c r="R149" s="129" t="n">
        <f aca="false">IF(AND(ISNUMBER($A149),ISNUMBER($I149),ISNUMBER($H149)),$I149,0)</f>
        <v>16</v>
      </c>
      <c r="S149" s="130" t="n">
        <f aca="false">IF(ISNUMBER($G149),$G149,0)</f>
        <v>46357</v>
      </c>
      <c r="T149" s="130" t="n">
        <f aca="false">IF(ISNUMBER($H149),$H149,S149)</f>
        <v>46377</v>
      </c>
      <c r="U149" s="131" t="n">
        <f aca="false">IF(ISNUMBER($A149),IF(Q149="Complete",1,N(INDEX('Scope Checklist'!$I:$I,$A149))),0)</f>
        <v>0</v>
      </c>
      <c r="V149" s="131" t="n">
        <f aca="false">IF(OR(NOT(ISNUMBER($A149)),S149=0),0,IF(Dashboard!$C$4&lt;S149,0,IF(Dashboard!$C$4&gt;=T149,1,NETWORKDAYS(S149,Dashboard!$C$4,$M$6:$M$11)/NETWORKDAYS(S149,T149,$M$6:$M$11))))</f>
        <v>0</v>
      </c>
      <c r="W149" s="129" t="n">
        <f aca="false">R149*U149</f>
        <v>0</v>
      </c>
      <c r="X149" s="129" t="n">
        <f aca="false">R149*V149</f>
        <v>0</v>
      </c>
      <c r="Y149" s="132" t="b">
        <f aca="false">AND(ISNUMBER($A149),ISNUMBER($I149),T149&gt;0,T149&lt;Dashboard!$C$4,U149&lt;1)</f>
        <v>0</v>
      </c>
      <c r="Z149" s="129" t="str">
        <f aca="false">IF(Y149,COUNTIF(Y$6:Y149,TRUE()),"")</f>
        <v/>
      </c>
      <c r="AA149" s="132" t="b">
        <f aca="false">AND(ISNUMBER($A149),ISNUMBER($I149),U149&lt;1,NOT(Y149),S149&gt;0,S149&lt;=WORKDAY(Dashboard!$C$4,10,$M$6:$M$11),T149&gt;=Dashboard!$C$4)</f>
        <v>0</v>
      </c>
      <c r="AB149" s="129" t="str">
        <f aca="false">IF(AA149,COUNTIF(AA$6:AA149,TRUE()),"")</f>
        <v/>
      </c>
    </row>
    <row r="150" customFormat="false" ht="15" hidden="false" customHeight="false" outlineLevel="0" collapsed="false">
      <c r="A150" s="133" t="n">
        <v>168</v>
      </c>
      <c r="B150" s="134" t="n">
        <f aca="false">IF('Scope Checklist'!A168="","-",'Scope Checklist'!A168)</f>
        <v>31</v>
      </c>
      <c r="C150" s="135" t="str">
        <f aca="false">'Scope Checklist'!D168</f>
        <v>Interior garage door (house-to-garage) replacement</v>
      </c>
      <c r="D150" s="62" t="s">
        <v>858</v>
      </c>
      <c r="E150" s="136" t="n">
        <v>0</v>
      </c>
      <c r="F150" s="136" t="n">
        <v>1</v>
      </c>
      <c r="G150" s="64" t="n">
        <f aca="false">WORKDAY(G119,E150,$M$6:$M$11)</f>
        <v>46427</v>
      </c>
      <c r="H150" s="64" t="n">
        <f aca="false">WORKDAY(G150,F150-1,$M$6:$M$11)</f>
        <v>46427</v>
      </c>
      <c r="I150" s="136" t="n">
        <v>4</v>
      </c>
      <c r="J150" s="133" t="s">
        <v>369</v>
      </c>
      <c r="K150" s="62" t="s">
        <v>859</v>
      </c>
      <c r="P150" s="129" t="str">
        <f aca="false">IF(ISNUMBER($A150),INDEX('Scope Checklist'!$B:$B,$A150),"")</f>
        <v>Exterior</v>
      </c>
      <c r="Q150" s="129" t="str">
        <f aca="false">IF(ISNUMBER($A150),INDEX('Scope Checklist'!$E:$E,$A150),"")</f>
        <v>Pending</v>
      </c>
      <c r="R150" s="129" t="n">
        <f aca="false">IF(AND(ISNUMBER($A150),ISNUMBER($I150),ISNUMBER($H150)),$I150,0)</f>
        <v>4</v>
      </c>
      <c r="S150" s="130" t="n">
        <f aca="false">IF(ISNUMBER($G150),$G150,0)</f>
        <v>46427</v>
      </c>
      <c r="T150" s="130" t="n">
        <f aca="false">IF(ISNUMBER($H150),$H150,S150)</f>
        <v>46427</v>
      </c>
      <c r="U150" s="131" t="n">
        <f aca="false">IF(ISNUMBER($A150),IF(Q150="Complete",1,N(INDEX('Scope Checklist'!$I:$I,$A150))),0)</f>
        <v>0</v>
      </c>
      <c r="V150" s="131" t="n">
        <f aca="false">IF(OR(NOT(ISNUMBER($A150)),S150=0),0,IF(Dashboard!$C$4&lt;S150,0,IF(Dashboard!$C$4&gt;=T150,1,NETWORKDAYS(S150,Dashboard!$C$4,$M$6:$M$11)/NETWORKDAYS(S150,T150,$M$6:$M$11))))</f>
        <v>0</v>
      </c>
      <c r="W150" s="129" t="n">
        <f aca="false">R150*U150</f>
        <v>0</v>
      </c>
      <c r="X150" s="129" t="n">
        <f aca="false">R150*V150</f>
        <v>0</v>
      </c>
      <c r="Y150" s="132" t="b">
        <f aca="false">AND(ISNUMBER($A150),ISNUMBER($I150),T150&gt;0,T150&lt;Dashboard!$C$4,U150&lt;1)</f>
        <v>0</v>
      </c>
      <c r="Z150" s="129" t="str">
        <f aca="false">IF(Y150,COUNTIF(Y$6:Y150,TRUE()),"")</f>
        <v/>
      </c>
      <c r="AA150" s="132" t="b">
        <f aca="false">AND(ISNUMBER($A150),ISNUMBER($I150),U150&lt;1,NOT(Y150),S150&gt;0,S150&lt;=WORKDAY(Dashboard!$C$4,10,$M$6:$M$11),T150&gt;=Dashboard!$C$4)</f>
        <v>0</v>
      </c>
      <c r="AB150" s="129" t="str">
        <f aca="false">IF(AA150,COUNTIF(AA$6:AA150,TRUE()),"")</f>
        <v/>
      </c>
    </row>
    <row r="151" customFormat="false" ht="15" hidden="false" customHeight="false" outlineLevel="0" collapsed="false">
      <c r="A151" s="133" t="n">
        <v>169</v>
      </c>
      <c r="B151" s="134" t="n">
        <f aca="false">IF('Scope Checklist'!A169="","-",'Scope Checklist'!A169)</f>
        <v>32</v>
      </c>
      <c r="C151" s="135" t="str">
        <f aca="false">'Scope Checklist'!D169</f>
        <v>Garage door opener</v>
      </c>
      <c r="D151" s="62" t="s">
        <v>860</v>
      </c>
      <c r="E151" s="136" t="n">
        <v>0</v>
      </c>
      <c r="F151" s="136" t="n">
        <v>1</v>
      </c>
      <c r="G151" s="64" t="n">
        <f aca="false">WORKDAY(H149,1+E151,$M$6:$M$11)</f>
        <v>46378</v>
      </c>
      <c r="H151" s="64" t="n">
        <f aca="false">WORKDAY(G151,F151-1,$M$6:$M$11)</f>
        <v>46378</v>
      </c>
      <c r="I151" s="136" t="n">
        <v>4</v>
      </c>
      <c r="J151" s="133" t="s">
        <v>184</v>
      </c>
      <c r="K151" s="62" t="s">
        <v>722</v>
      </c>
      <c r="P151" s="129" t="str">
        <f aca="false">IF(ISNUMBER($A151),INDEX('Scope Checklist'!$B:$B,$A151),"")</f>
        <v>Exterior</v>
      </c>
      <c r="Q151" s="129" t="str">
        <f aca="false">IF(ISNUMBER($A151),INDEX('Scope Checklist'!$E:$E,$A151),"")</f>
        <v>Pending</v>
      </c>
      <c r="R151" s="129" t="n">
        <f aca="false">IF(AND(ISNUMBER($A151),ISNUMBER($I151),ISNUMBER($H151)),$I151,0)</f>
        <v>4</v>
      </c>
      <c r="S151" s="130" t="n">
        <f aca="false">IF(ISNUMBER($G151),$G151,0)</f>
        <v>46378</v>
      </c>
      <c r="T151" s="130" t="n">
        <f aca="false">IF(ISNUMBER($H151),$H151,S151)</f>
        <v>46378</v>
      </c>
      <c r="U151" s="131" t="n">
        <f aca="false">IF(ISNUMBER($A151),IF(Q151="Complete",1,N(INDEX('Scope Checklist'!$I:$I,$A151))),0)</f>
        <v>0</v>
      </c>
      <c r="V151" s="131" t="n">
        <f aca="false">IF(OR(NOT(ISNUMBER($A151)),S151=0),0,IF(Dashboard!$C$4&lt;S151,0,IF(Dashboard!$C$4&gt;=T151,1,NETWORKDAYS(S151,Dashboard!$C$4,$M$6:$M$11)/NETWORKDAYS(S151,T151,$M$6:$M$11))))</f>
        <v>0</v>
      </c>
      <c r="W151" s="129" t="n">
        <f aca="false">R151*U151</f>
        <v>0</v>
      </c>
      <c r="X151" s="129" t="n">
        <f aca="false">R151*V151</f>
        <v>0</v>
      </c>
      <c r="Y151" s="132" t="b">
        <f aca="false">AND(ISNUMBER($A151),ISNUMBER($I151),T151&gt;0,T151&lt;Dashboard!$C$4,U151&lt;1)</f>
        <v>0</v>
      </c>
      <c r="Z151" s="129" t="str">
        <f aca="false">IF(Y151,COUNTIF(Y$6:Y151,TRUE()),"")</f>
        <v/>
      </c>
      <c r="AA151" s="132" t="b">
        <f aca="false">AND(ISNUMBER($A151),ISNUMBER($I151),U151&lt;1,NOT(Y151),S151&gt;0,S151&lt;=WORKDAY(Dashboard!$C$4,10,$M$6:$M$11),T151&gt;=Dashboard!$C$4)</f>
        <v>0</v>
      </c>
      <c r="AB151" s="129" t="str">
        <f aca="false">IF(AA151,COUNTIF(AA$6:AA151,TRUE()),"")</f>
        <v/>
      </c>
    </row>
    <row r="152" customFormat="false" ht="15" hidden="false" customHeight="false" outlineLevel="0" collapsed="false">
      <c r="A152" s="133" t="n">
        <v>175</v>
      </c>
      <c r="B152" s="134" t="n">
        <f aca="false">IF('Scope Checklist'!A175="","-",'Scope Checklist'!A175)</f>
        <v>38</v>
      </c>
      <c r="C152" s="135" t="str">
        <f aca="false">'Scope Checklist'!D175</f>
        <v>Front yard design</v>
      </c>
      <c r="D152" s="62" t="s">
        <v>861</v>
      </c>
      <c r="E152" s="136" t="n">
        <v>5</v>
      </c>
      <c r="F152" s="136" t="n">
        <v>10</v>
      </c>
      <c r="G152" s="64" t="n">
        <f aca="false">WORKDAY(G7,E152,$M$6:$M$11)</f>
        <v>46307</v>
      </c>
      <c r="H152" s="64" t="n">
        <f aca="false">WORKDAY(G152,F152-1,$M$6:$M$11)</f>
        <v>46318</v>
      </c>
      <c r="I152" s="136" t="n">
        <v>12</v>
      </c>
      <c r="J152" s="133" t="s">
        <v>146</v>
      </c>
      <c r="K152" s="62" t="s">
        <v>862</v>
      </c>
      <c r="P152" s="129" t="str">
        <f aca="false">IF(ISNUMBER($A152),INDEX('Scope Checklist'!$B:$B,$A152),"")</f>
        <v>Exterior</v>
      </c>
      <c r="Q152" s="129" t="str">
        <f aca="false">IF(ISNUMBER($A152),INDEX('Scope Checklist'!$E:$E,$A152),"")</f>
        <v>Pending</v>
      </c>
      <c r="R152" s="129" t="n">
        <f aca="false">IF(AND(ISNUMBER($A152),ISNUMBER($I152),ISNUMBER($H152)),$I152,0)</f>
        <v>12</v>
      </c>
      <c r="S152" s="130" t="n">
        <f aca="false">IF(ISNUMBER($G152),$G152,0)</f>
        <v>46307</v>
      </c>
      <c r="T152" s="130" t="n">
        <f aca="false">IF(ISNUMBER($H152),$H152,S152)</f>
        <v>46318</v>
      </c>
      <c r="U152" s="131" t="n">
        <f aca="false">IF(ISNUMBER($A152),IF(Q152="Complete",1,N(INDEX('Scope Checklist'!$I:$I,$A152))),0)</f>
        <v>0</v>
      </c>
      <c r="V152" s="131" t="n">
        <f aca="false">IF(OR(NOT(ISNUMBER($A152)),S152=0),0,IF(Dashboard!$C$4&lt;S152,0,IF(Dashboard!$C$4&gt;=T152,1,NETWORKDAYS(S152,Dashboard!$C$4,$M$6:$M$11)/NETWORKDAYS(S152,T152,$M$6:$M$11))))</f>
        <v>0</v>
      </c>
      <c r="W152" s="129" t="n">
        <f aca="false">R152*U152</f>
        <v>0</v>
      </c>
      <c r="X152" s="129" t="n">
        <f aca="false">R152*V152</f>
        <v>0</v>
      </c>
      <c r="Y152" s="132" t="b">
        <f aca="false">AND(ISNUMBER($A152),ISNUMBER($I152),T152&gt;0,T152&lt;Dashboard!$C$4,U152&lt;1)</f>
        <v>0</v>
      </c>
      <c r="Z152" s="129" t="str">
        <f aca="false">IF(Y152,COUNTIF(Y$6:Y152,TRUE()),"")</f>
        <v/>
      </c>
      <c r="AA152" s="132" t="b">
        <f aca="false">AND(ISNUMBER($A152),ISNUMBER($I152),U152&lt;1,NOT(Y152),S152&gt;0,S152&lt;=WORKDAY(Dashboard!$C$4,10,$M$6:$M$11),T152&gt;=Dashboard!$C$4)</f>
        <v>0</v>
      </c>
      <c r="AB152" s="129" t="str">
        <f aca="false">IF(AA152,COUNTIF(AA$6:AA152,TRUE()),"")</f>
        <v/>
      </c>
    </row>
    <row r="153" customFormat="false" ht="15" hidden="false" customHeight="false" outlineLevel="0" collapsed="false">
      <c r="A153" s="133" t="n">
        <v>176</v>
      </c>
      <c r="B153" s="134" t="n">
        <f aca="false">IF('Scope Checklist'!A176="","-",'Scope Checklist'!A176)</f>
        <v>39</v>
      </c>
      <c r="C153" s="135" t="str">
        <f aca="false">'Scope Checklist'!D176</f>
        <v>Backyard design</v>
      </c>
      <c r="D153" s="62" t="s">
        <v>861</v>
      </c>
      <c r="E153" s="136" t="n">
        <v>5</v>
      </c>
      <c r="F153" s="136" t="n">
        <v>10</v>
      </c>
      <c r="G153" s="64" t="n">
        <f aca="false">WORKDAY(G7,E153,$M$6:$M$11)</f>
        <v>46307</v>
      </c>
      <c r="H153" s="64" t="n">
        <f aca="false">WORKDAY(G153,F153-1,$M$6:$M$11)</f>
        <v>46318</v>
      </c>
      <c r="I153" s="136" t="n">
        <v>8</v>
      </c>
      <c r="J153" s="133" t="s">
        <v>146</v>
      </c>
      <c r="K153" s="62" t="s">
        <v>863</v>
      </c>
      <c r="P153" s="129" t="str">
        <f aca="false">IF(ISNUMBER($A153),INDEX('Scope Checklist'!$B:$B,$A153),"")</f>
        <v>Exterior</v>
      </c>
      <c r="Q153" s="129" t="str">
        <f aca="false">IF(ISNUMBER($A153),INDEX('Scope Checklist'!$E:$E,$A153),"")</f>
        <v>Pending</v>
      </c>
      <c r="R153" s="129" t="n">
        <f aca="false">IF(AND(ISNUMBER($A153),ISNUMBER($I153),ISNUMBER($H153)),$I153,0)</f>
        <v>8</v>
      </c>
      <c r="S153" s="130" t="n">
        <f aca="false">IF(ISNUMBER($G153),$G153,0)</f>
        <v>46307</v>
      </c>
      <c r="T153" s="130" t="n">
        <f aca="false">IF(ISNUMBER($H153),$H153,S153)</f>
        <v>46318</v>
      </c>
      <c r="U153" s="131" t="n">
        <f aca="false">IF(ISNUMBER($A153),IF(Q153="Complete",1,N(INDEX('Scope Checklist'!$I:$I,$A153))),0)</f>
        <v>0</v>
      </c>
      <c r="V153" s="131" t="n">
        <f aca="false">IF(OR(NOT(ISNUMBER($A153)),S153=0),0,IF(Dashboard!$C$4&lt;S153,0,IF(Dashboard!$C$4&gt;=T153,1,NETWORKDAYS(S153,Dashboard!$C$4,$M$6:$M$11)/NETWORKDAYS(S153,T153,$M$6:$M$11))))</f>
        <v>0</v>
      </c>
      <c r="W153" s="129" t="n">
        <f aca="false">R153*U153</f>
        <v>0</v>
      </c>
      <c r="X153" s="129" t="n">
        <f aca="false">R153*V153</f>
        <v>0</v>
      </c>
      <c r="Y153" s="132" t="b">
        <f aca="false">AND(ISNUMBER($A153),ISNUMBER($I153),T153&gt;0,T153&lt;Dashboard!$C$4,U153&lt;1)</f>
        <v>0</v>
      </c>
      <c r="Z153" s="129" t="str">
        <f aca="false">IF(Y153,COUNTIF(Y$6:Y153,TRUE()),"")</f>
        <v/>
      </c>
      <c r="AA153" s="132" t="b">
        <f aca="false">AND(ISNUMBER($A153),ISNUMBER($I153),U153&lt;1,NOT(Y153),S153&gt;0,S153&lt;=WORKDAY(Dashboard!$C$4,10,$M$6:$M$11),T153&gt;=Dashboard!$C$4)</f>
        <v>0</v>
      </c>
      <c r="AB153" s="129" t="str">
        <f aca="false">IF(AA153,COUNTIF(AA$6:AA153,TRUE()),"")</f>
        <v/>
      </c>
    </row>
    <row r="154" customFormat="false" ht="15" hidden="false" customHeight="false" outlineLevel="0" collapsed="false">
      <c r="A154" s="133" t="n">
        <v>177</v>
      </c>
      <c r="B154" s="134" t="n">
        <f aca="false">IF('Scope Checklist'!A177="","-",'Scope Checklist'!A177)</f>
        <v>40</v>
      </c>
      <c r="C154" s="135" t="str">
        <f aca="false">'Scope Checklist'!D177</f>
        <v>Side yard design</v>
      </c>
      <c r="D154" s="62" t="s">
        <v>861</v>
      </c>
      <c r="E154" s="136" t="n">
        <v>5</v>
      </c>
      <c r="F154" s="136" t="n">
        <v>10</v>
      </c>
      <c r="G154" s="64" t="n">
        <f aca="false">WORKDAY(G7,E154,$M$6:$M$11)</f>
        <v>46307</v>
      </c>
      <c r="H154" s="64" t="n">
        <f aca="false">WORKDAY(G154,F154-1,$M$6:$M$11)</f>
        <v>46318</v>
      </c>
      <c r="I154" s="136" t="n">
        <v>4</v>
      </c>
      <c r="J154" s="133" t="s">
        <v>146</v>
      </c>
      <c r="K154" s="62" t="s">
        <v>722</v>
      </c>
      <c r="P154" s="129" t="str">
        <f aca="false">IF(ISNUMBER($A154),INDEX('Scope Checklist'!$B:$B,$A154),"")</f>
        <v>Exterior</v>
      </c>
      <c r="Q154" s="129" t="str">
        <f aca="false">IF(ISNUMBER($A154),INDEX('Scope Checklist'!$E:$E,$A154),"")</f>
        <v>Pending</v>
      </c>
      <c r="R154" s="129" t="n">
        <f aca="false">IF(AND(ISNUMBER($A154),ISNUMBER($I154),ISNUMBER($H154)),$I154,0)</f>
        <v>4</v>
      </c>
      <c r="S154" s="130" t="n">
        <f aca="false">IF(ISNUMBER($G154),$G154,0)</f>
        <v>46307</v>
      </c>
      <c r="T154" s="130" t="n">
        <f aca="false">IF(ISNUMBER($H154),$H154,S154)</f>
        <v>46318</v>
      </c>
      <c r="U154" s="131" t="n">
        <f aca="false">IF(ISNUMBER($A154),IF(Q154="Complete",1,N(INDEX('Scope Checklist'!$I:$I,$A154))),0)</f>
        <v>0</v>
      </c>
      <c r="V154" s="131" t="n">
        <f aca="false">IF(OR(NOT(ISNUMBER($A154)),S154=0),0,IF(Dashboard!$C$4&lt;S154,0,IF(Dashboard!$C$4&gt;=T154,1,NETWORKDAYS(S154,Dashboard!$C$4,$M$6:$M$11)/NETWORKDAYS(S154,T154,$M$6:$M$11))))</f>
        <v>0</v>
      </c>
      <c r="W154" s="129" t="n">
        <f aca="false">R154*U154</f>
        <v>0</v>
      </c>
      <c r="X154" s="129" t="n">
        <f aca="false">R154*V154</f>
        <v>0</v>
      </c>
      <c r="Y154" s="132" t="b">
        <f aca="false">AND(ISNUMBER($A154),ISNUMBER($I154),T154&gt;0,T154&lt;Dashboard!$C$4,U154&lt;1)</f>
        <v>0</v>
      </c>
      <c r="Z154" s="129" t="str">
        <f aca="false">IF(Y154,COUNTIF(Y$6:Y154,TRUE()),"")</f>
        <v/>
      </c>
      <c r="AA154" s="132" t="b">
        <f aca="false">AND(ISNUMBER($A154),ISNUMBER($I154),U154&lt;1,NOT(Y154),S154&gt;0,S154&lt;=WORKDAY(Dashboard!$C$4,10,$M$6:$M$11),T154&gt;=Dashboard!$C$4)</f>
        <v>0</v>
      </c>
      <c r="AB154" s="129" t="str">
        <f aca="false">IF(AA154,COUNTIF(AA$6:AA154,TRUE()),"")</f>
        <v/>
      </c>
    </row>
    <row r="155" customFormat="false" ht="15" hidden="false" customHeight="false" outlineLevel="0" collapsed="false">
      <c r="A155" s="133" t="n">
        <v>179</v>
      </c>
      <c r="B155" s="134" t="n">
        <f aca="false">IF('Scope Checklist'!A179="","-",'Scope Checklist'!A179)</f>
        <v>42</v>
      </c>
      <c r="C155" s="135" t="str">
        <f aca="false">'Scope Checklist'!D179</f>
        <v>Tree trimming / removal</v>
      </c>
      <c r="D155" s="62" t="s">
        <v>864</v>
      </c>
      <c r="E155" s="136" t="n">
        <v>0</v>
      </c>
      <c r="F155" s="136" t="n">
        <v>2</v>
      </c>
      <c r="G155" s="64" t="n">
        <f aca="false">WORKDAY(MAX(H15,H152),1+E155,$M$6:$M$11)</f>
        <v>46335</v>
      </c>
      <c r="H155" s="64" t="n">
        <f aca="false">WORKDAY(G155,F155-1,$M$6:$M$11)</f>
        <v>46336</v>
      </c>
      <c r="I155" s="136" t="n">
        <v>16</v>
      </c>
      <c r="J155" s="133" t="s">
        <v>391</v>
      </c>
      <c r="K155" s="62" t="s">
        <v>865</v>
      </c>
      <c r="P155" s="129" t="str">
        <f aca="false">IF(ISNUMBER($A155),INDEX('Scope Checklist'!$B:$B,$A155),"")</f>
        <v>Exterior</v>
      </c>
      <c r="Q155" s="129" t="str">
        <f aca="false">IF(ISNUMBER($A155),INDEX('Scope Checklist'!$E:$E,$A155),"")</f>
        <v>Pending</v>
      </c>
      <c r="R155" s="129" t="n">
        <f aca="false">IF(AND(ISNUMBER($A155),ISNUMBER($I155),ISNUMBER($H155)),$I155,0)</f>
        <v>16</v>
      </c>
      <c r="S155" s="130" t="n">
        <f aca="false">IF(ISNUMBER($G155),$G155,0)</f>
        <v>46335</v>
      </c>
      <c r="T155" s="130" t="n">
        <f aca="false">IF(ISNUMBER($H155),$H155,S155)</f>
        <v>46336</v>
      </c>
      <c r="U155" s="131" t="n">
        <f aca="false">IF(ISNUMBER($A155),IF(Q155="Complete",1,N(INDEX('Scope Checklist'!$I:$I,$A155))),0)</f>
        <v>0</v>
      </c>
      <c r="V155" s="131" t="n">
        <f aca="false">IF(OR(NOT(ISNUMBER($A155)),S155=0),0,IF(Dashboard!$C$4&lt;S155,0,IF(Dashboard!$C$4&gt;=T155,1,NETWORKDAYS(S155,Dashboard!$C$4,$M$6:$M$11)/NETWORKDAYS(S155,T155,$M$6:$M$11))))</f>
        <v>0</v>
      </c>
      <c r="W155" s="129" t="n">
        <f aca="false">R155*U155</f>
        <v>0</v>
      </c>
      <c r="X155" s="129" t="n">
        <f aca="false">R155*V155</f>
        <v>0</v>
      </c>
      <c r="Y155" s="132" t="b">
        <f aca="false">AND(ISNUMBER($A155),ISNUMBER($I155),T155&gt;0,T155&lt;Dashboard!$C$4,U155&lt;1)</f>
        <v>0</v>
      </c>
      <c r="Z155" s="129" t="str">
        <f aca="false">IF(Y155,COUNTIF(Y$6:Y155,TRUE()),"")</f>
        <v/>
      </c>
      <c r="AA155" s="132" t="b">
        <f aca="false">AND(ISNUMBER($A155),ISNUMBER($I155),U155&lt;1,NOT(Y155),S155&gt;0,S155&lt;=WORKDAY(Dashboard!$C$4,10,$M$6:$M$11),T155&gt;=Dashboard!$C$4)</f>
        <v>0</v>
      </c>
      <c r="AB155" s="129" t="str">
        <f aca="false">IF(AA155,COUNTIF(AA$6:AA155,TRUE()),"")</f>
        <v/>
      </c>
    </row>
    <row r="156" customFormat="false" ht="15" hidden="false" customHeight="false" outlineLevel="0" collapsed="false">
      <c r="A156" s="133" t="n">
        <v>173</v>
      </c>
      <c r="B156" s="134" t="n">
        <f aca="false">IF('Scope Checklist'!A173="","-",'Scope Checklist'!A173)</f>
        <v>36</v>
      </c>
      <c r="C156" s="135" t="str">
        <f aca="false">'Scope Checklist'!D173</f>
        <v>Entry tile installation (walkway now part of pavers)</v>
      </c>
      <c r="D156" s="62" t="s">
        <v>866</v>
      </c>
      <c r="E156" s="136" t="n">
        <v>0</v>
      </c>
      <c r="F156" s="136" t="n">
        <v>4</v>
      </c>
      <c r="G156" s="64" t="n">
        <f aca="false">WORKDAY(MAX(H26,H29),1+E156,$M$6:$M$11)</f>
        <v>46414</v>
      </c>
      <c r="H156" s="64" t="n">
        <f aca="false">WORKDAY(G156,F156-1,$M$6:$M$11)</f>
        <v>46419</v>
      </c>
      <c r="I156" s="136" t="n">
        <v>20</v>
      </c>
      <c r="J156" s="133" t="s">
        <v>492</v>
      </c>
      <c r="K156" s="62" t="s">
        <v>867</v>
      </c>
      <c r="P156" s="129" t="str">
        <f aca="false">IF(ISNUMBER($A156),INDEX('Scope Checklist'!$B:$B,$A156),"")</f>
        <v>Exterior</v>
      </c>
      <c r="Q156" s="129" t="str">
        <f aca="false">IF(ISNUMBER($A156),INDEX('Scope Checklist'!$E:$E,$A156),"")</f>
        <v>Pending</v>
      </c>
      <c r="R156" s="129" t="n">
        <f aca="false">IF(AND(ISNUMBER($A156),ISNUMBER($I156),ISNUMBER($H156)),$I156,0)</f>
        <v>20</v>
      </c>
      <c r="S156" s="130" t="n">
        <f aca="false">IF(ISNUMBER($G156),$G156,0)</f>
        <v>46414</v>
      </c>
      <c r="T156" s="130" t="n">
        <f aca="false">IF(ISNUMBER($H156),$H156,S156)</f>
        <v>46419</v>
      </c>
      <c r="U156" s="131" t="n">
        <f aca="false">IF(ISNUMBER($A156),IF(Q156="Complete",1,N(INDEX('Scope Checklist'!$I:$I,$A156))),0)</f>
        <v>0</v>
      </c>
      <c r="V156" s="131" t="n">
        <f aca="false">IF(OR(NOT(ISNUMBER($A156)),S156=0),0,IF(Dashboard!$C$4&lt;S156,0,IF(Dashboard!$C$4&gt;=T156,1,NETWORKDAYS(S156,Dashboard!$C$4,$M$6:$M$11)/NETWORKDAYS(S156,T156,$M$6:$M$11))))</f>
        <v>0</v>
      </c>
      <c r="W156" s="129" t="n">
        <f aca="false">R156*U156</f>
        <v>0</v>
      </c>
      <c r="X156" s="129" t="n">
        <f aca="false">R156*V156</f>
        <v>0</v>
      </c>
      <c r="Y156" s="132" t="b">
        <f aca="false">AND(ISNUMBER($A156),ISNUMBER($I156),T156&gt;0,T156&lt;Dashboard!$C$4,U156&lt;1)</f>
        <v>0</v>
      </c>
      <c r="Z156" s="129" t="str">
        <f aca="false">IF(Y156,COUNTIF(Y$6:Y156,TRUE()),"")</f>
        <v/>
      </c>
      <c r="AA156" s="132" t="b">
        <f aca="false">AND(ISNUMBER($A156),ISNUMBER($I156),U156&lt;1,NOT(Y156),S156&gt;0,S156&lt;=WORKDAY(Dashboard!$C$4,10,$M$6:$M$11),T156&gt;=Dashboard!$C$4)</f>
        <v>0</v>
      </c>
      <c r="AB156" s="129" t="str">
        <f aca="false">IF(AA156,COUNTIF(AA$6:AA156,TRUE()),"")</f>
        <v/>
      </c>
    </row>
    <row r="157" customFormat="false" ht="15" hidden="false" customHeight="false" outlineLevel="0" collapsed="false">
      <c r="A157" s="133" t="n">
        <v>174</v>
      </c>
      <c r="B157" s="134" t="n">
        <f aca="false">IF('Scope Checklist'!A174="","-",'Scope Checklist'!A174)</f>
        <v>37</v>
      </c>
      <c r="C157" s="135" t="str">
        <f aca="false">'Scope Checklist'!D174</f>
        <v>Patio - drainage + repairs</v>
      </c>
      <c r="D157" s="62" t="s">
        <v>868</v>
      </c>
      <c r="E157" s="136" t="n">
        <v>0</v>
      </c>
      <c r="F157" s="136" t="n">
        <v>3</v>
      </c>
      <c r="G157" s="64" t="n">
        <f aca="false">WORKDAY(G156,E157,$M$6:$M$11)</f>
        <v>46414</v>
      </c>
      <c r="H157" s="64" t="n">
        <f aca="false">WORKDAY(G157,F157-1,$M$6:$M$11)</f>
        <v>46416</v>
      </c>
      <c r="I157" s="136" t="n">
        <v>16</v>
      </c>
      <c r="J157" s="133" t="s">
        <v>504</v>
      </c>
      <c r="K157" s="62" t="s">
        <v>722</v>
      </c>
      <c r="P157" s="129" t="str">
        <f aca="false">IF(ISNUMBER($A157),INDEX('Scope Checklist'!$B:$B,$A157),"")</f>
        <v>Exterior</v>
      </c>
      <c r="Q157" s="129" t="str">
        <f aca="false">IF(ISNUMBER($A157),INDEX('Scope Checklist'!$E:$E,$A157),"")</f>
        <v>Pending</v>
      </c>
      <c r="R157" s="129" t="n">
        <f aca="false">IF(AND(ISNUMBER($A157),ISNUMBER($I157),ISNUMBER($H157)),$I157,0)</f>
        <v>16</v>
      </c>
      <c r="S157" s="130" t="n">
        <f aca="false">IF(ISNUMBER($G157),$G157,0)</f>
        <v>46414</v>
      </c>
      <c r="T157" s="130" t="n">
        <f aca="false">IF(ISNUMBER($H157),$H157,S157)</f>
        <v>46416</v>
      </c>
      <c r="U157" s="131" t="n">
        <f aca="false">IF(ISNUMBER($A157),IF(Q157="Complete",1,N(INDEX('Scope Checklist'!$I:$I,$A157))),0)</f>
        <v>0</v>
      </c>
      <c r="V157" s="131" t="n">
        <f aca="false">IF(OR(NOT(ISNUMBER($A157)),S157=0),0,IF(Dashboard!$C$4&lt;S157,0,IF(Dashboard!$C$4&gt;=T157,1,NETWORKDAYS(S157,Dashboard!$C$4,$M$6:$M$11)/NETWORKDAYS(S157,T157,$M$6:$M$11))))</f>
        <v>0</v>
      </c>
      <c r="W157" s="129" t="n">
        <f aca="false">R157*U157</f>
        <v>0</v>
      </c>
      <c r="X157" s="129" t="n">
        <f aca="false">R157*V157</f>
        <v>0</v>
      </c>
      <c r="Y157" s="132" t="b">
        <f aca="false">AND(ISNUMBER($A157),ISNUMBER($I157),T157&gt;0,T157&lt;Dashboard!$C$4,U157&lt;1)</f>
        <v>0</v>
      </c>
      <c r="Z157" s="129" t="str">
        <f aca="false">IF(Y157,COUNTIF(Y$6:Y157,TRUE()),"")</f>
        <v/>
      </c>
      <c r="AA157" s="132" t="b">
        <f aca="false">AND(ISNUMBER($A157),ISNUMBER($I157),U157&lt;1,NOT(Y157),S157&gt;0,S157&lt;=WORKDAY(Dashboard!$C$4,10,$M$6:$M$11),T157&gt;=Dashboard!$C$4)</f>
        <v>0</v>
      </c>
      <c r="AB157" s="129" t="str">
        <f aca="false">IF(AA157,COUNTIF(AA$6:AA157,TRUE()),"")</f>
        <v/>
      </c>
    </row>
    <row r="158" customFormat="false" ht="23.85" hidden="false" customHeight="false" outlineLevel="0" collapsed="false">
      <c r="A158" s="133" t="n">
        <v>170</v>
      </c>
      <c r="B158" s="134" t="n">
        <f aca="false">IF('Scope Checklist'!A170="","-",'Scope Checklist'!A170)</f>
        <v>33</v>
      </c>
      <c r="C158" s="135" t="str">
        <f aca="false">'Scope Checklist'!D170</f>
        <v>Driveway pavers</v>
      </c>
      <c r="D158" s="62" t="s">
        <v>869</v>
      </c>
      <c r="E158" s="136" t="n">
        <v>0</v>
      </c>
      <c r="F158" s="136" t="n">
        <v>3</v>
      </c>
      <c r="G158" s="64" t="n">
        <f aca="false">WORKDAY(MAX(H26,H29,H156,H155),1+E158,$M$6:$M$11)</f>
        <v>46420</v>
      </c>
      <c r="H158" s="64" t="n">
        <f aca="false">WORKDAY(G158,F158-1,$M$6:$M$11)</f>
        <v>46422</v>
      </c>
      <c r="I158" s="136" t="n">
        <v>24</v>
      </c>
      <c r="J158" s="133" t="s">
        <v>492</v>
      </c>
      <c r="K158" s="62" t="s">
        <v>870</v>
      </c>
      <c r="P158" s="129" t="str">
        <f aca="false">IF(ISNUMBER($A158),INDEX('Scope Checklist'!$B:$B,$A158),"")</f>
        <v>Exterior</v>
      </c>
      <c r="Q158" s="129" t="str">
        <f aca="false">IF(ISNUMBER($A158),INDEX('Scope Checklist'!$E:$E,$A158),"")</f>
        <v>In Progress</v>
      </c>
      <c r="R158" s="129" t="n">
        <f aca="false">IF(AND(ISNUMBER($A158),ISNUMBER($I158),ISNUMBER($H158)),$I158,0)</f>
        <v>24</v>
      </c>
      <c r="S158" s="130" t="n">
        <f aca="false">IF(ISNUMBER($G158),$G158,0)</f>
        <v>46420</v>
      </c>
      <c r="T158" s="130" t="n">
        <f aca="false">IF(ISNUMBER($H158),$H158,S158)</f>
        <v>46422</v>
      </c>
      <c r="U158" s="131" t="n">
        <f aca="false">IF(ISNUMBER($A158),IF(Q158="Complete",1,N(INDEX('Scope Checklist'!$I:$I,$A158))),0)</f>
        <v>0</v>
      </c>
      <c r="V158" s="131" t="n">
        <f aca="false">IF(OR(NOT(ISNUMBER($A158)),S158=0),0,IF(Dashboard!$C$4&lt;S158,0,IF(Dashboard!$C$4&gt;=T158,1,NETWORKDAYS(S158,Dashboard!$C$4,$M$6:$M$11)/NETWORKDAYS(S158,T158,$M$6:$M$11))))</f>
        <v>0</v>
      </c>
      <c r="W158" s="129" t="n">
        <f aca="false">R158*U158</f>
        <v>0</v>
      </c>
      <c r="X158" s="129" t="n">
        <f aca="false">R158*V158</f>
        <v>0</v>
      </c>
      <c r="Y158" s="132" t="b">
        <f aca="false">AND(ISNUMBER($A158),ISNUMBER($I158),T158&gt;0,T158&lt;Dashboard!$C$4,U158&lt;1)</f>
        <v>0</v>
      </c>
      <c r="Z158" s="129" t="str">
        <f aca="false">IF(Y158,COUNTIF(Y$6:Y158,TRUE()),"")</f>
        <v/>
      </c>
      <c r="AA158" s="132" t="b">
        <f aca="false">AND(ISNUMBER($A158),ISNUMBER($I158),U158&lt;1,NOT(Y158),S158&gt;0,S158&lt;=WORKDAY(Dashboard!$C$4,10,$M$6:$M$11),T158&gt;=Dashboard!$C$4)</f>
        <v>0</v>
      </c>
      <c r="AB158" s="129" t="str">
        <f aca="false">IF(AA158,COUNTIF(AA$6:AA158,TRUE()),"")</f>
        <v/>
      </c>
    </row>
    <row r="159" customFormat="false" ht="15" hidden="false" customHeight="false" outlineLevel="0" collapsed="false">
      <c r="A159" s="133" t="n">
        <v>171</v>
      </c>
      <c r="B159" s="134" t="n">
        <f aca="false">IF('Scope Checklist'!A171="","-",'Scope Checklist'!A171)</f>
        <v>34</v>
      </c>
      <c r="C159" s="135" t="str">
        <f aca="false">'Scope Checklist'!D171</f>
        <v>Paver brick sealing</v>
      </c>
      <c r="D159" s="62" t="s">
        <v>871</v>
      </c>
      <c r="E159" s="136" t="n">
        <v>10</v>
      </c>
      <c r="F159" s="136" t="n">
        <v>1</v>
      </c>
      <c r="G159" s="64" t="n">
        <f aca="false">WORKDAY(H158,1+E159,$M$6:$M$11)</f>
        <v>46437</v>
      </c>
      <c r="H159" s="64" t="n">
        <f aca="false">WORKDAY(G159,F159-1,$M$6:$M$11)</f>
        <v>46437</v>
      </c>
      <c r="I159" s="136" t="n">
        <v>8</v>
      </c>
      <c r="J159" s="133" t="s">
        <v>391</v>
      </c>
      <c r="K159" s="62" t="s">
        <v>872</v>
      </c>
      <c r="P159" s="129" t="str">
        <f aca="false">IF(ISNUMBER($A159),INDEX('Scope Checklist'!$B:$B,$A159),"")</f>
        <v>Exterior</v>
      </c>
      <c r="Q159" s="129" t="str">
        <f aca="false">IF(ISNUMBER($A159),INDEX('Scope Checklist'!$E:$E,$A159),"")</f>
        <v>Pending</v>
      </c>
      <c r="R159" s="129" t="n">
        <f aca="false">IF(AND(ISNUMBER($A159),ISNUMBER($I159),ISNUMBER($H159)),$I159,0)</f>
        <v>8</v>
      </c>
      <c r="S159" s="130" t="n">
        <f aca="false">IF(ISNUMBER($G159),$G159,0)</f>
        <v>46437</v>
      </c>
      <c r="T159" s="130" t="n">
        <f aca="false">IF(ISNUMBER($H159),$H159,S159)</f>
        <v>46437</v>
      </c>
      <c r="U159" s="131" t="n">
        <f aca="false">IF(ISNUMBER($A159),IF(Q159="Complete",1,N(INDEX('Scope Checklist'!$I:$I,$A159))),0)</f>
        <v>0</v>
      </c>
      <c r="V159" s="131" t="n">
        <f aca="false">IF(OR(NOT(ISNUMBER($A159)),S159=0),0,IF(Dashboard!$C$4&lt;S159,0,IF(Dashboard!$C$4&gt;=T159,1,NETWORKDAYS(S159,Dashboard!$C$4,$M$6:$M$11)/NETWORKDAYS(S159,T159,$M$6:$M$11))))</f>
        <v>0</v>
      </c>
      <c r="W159" s="129" t="n">
        <f aca="false">R159*U159</f>
        <v>0</v>
      </c>
      <c r="X159" s="129" t="n">
        <f aca="false">R159*V159</f>
        <v>0</v>
      </c>
      <c r="Y159" s="132" t="b">
        <f aca="false">AND(ISNUMBER($A159),ISNUMBER($I159),T159&gt;0,T159&lt;Dashboard!$C$4,U159&lt;1)</f>
        <v>0</v>
      </c>
      <c r="Z159" s="129" t="str">
        <f aca="false">IF(Y159,COUNTIF(Y$6:Y159,TRUE()),"")</f>
        <v/>
      </c>
      <c r="AA159" s="132" t="b">
        <f aca="false">AND(ISNUMBER($A159),ISNUMBER($I159),U159&lt;1,NOT(Y159),S159&gt;0,S159&lt;=WORKDAY(Dashboard!$C$4,10,$M$6:$M$11),T159&gt;=Dashboard!$C$4)</f>
        <v>0</v>
      </c>
      <c r="AB159" s="129" t="str">
        <f aca="false">IF(AA159,COUNTIF(AA$6:AA159,TRUE()),"")</f>
        <v/>
      </c>
    </row>
    <row r="160" customFormat="false" ht="15" hidden="false" customHeight="false" outlineLevel="0" collapsed="false">
      <c r="A160" s="133" t="n">
        <v>180</v>
      </c>
      <c r="B160" s="134" t="n">
        <f aca="false">IF('Scope Checklist'!A180="","-",'Scope Checklist'!A180)</f>
        <v>43</v>
      </c>
      <c r="C160" s="135" t="str">
        <f aca="false">'Scope Checklist'!D180</f>
        <v>Sprinkler system</v>
      </c>
      <c r="D160" s="62" t="s">
        <v>873</v>
      </c>
      <c r="E160" s="136" t="n">
        <v>0</v>
      </c>
      <c r="F160" s="136" t="n">
        <v>3</v>
      </c>
      <c r="G160" s="64" t="n">
        <f aca="false">WORKDAY(H158,1+E160,$M$6:$M$11)</f>
        <v>46423</v>
      </c>
      <c r="H160" s="64" t="n">
        <f aca="false">WORKDAY(G160,F160-1,$M$6:$M$11)</f>
        <v>46427</v>
      </c>
      <c r="I160" s="136" t="n">
        <v>16</v>
      </c>
      <c r="J160" s="133" t="s">
        <v>391</v>
      </c>
      <c r="K160" s="62" t="s">
        <v>874</v>
      </c>
      <c r="P160" s="129" t="str">
        <f aca="false">IF(ISNUMBER($A160),INDEX('Scope Checklist'!$B:$B,$A160),"")</f>
        <v>Exterior</v>
      </c>
      <c r="Q160" s="129" t="str">
        <f aca="false">IF(ISNUMBER($A160),INDEX('Scope Checklist'!$E:$E,$A160),"")</f>
        <v>Pending</v>
      </c>
      <c r="R160" s="129" t="n">
        <f aca="false">IF(AND(ISNUMBER($A160),ISNUMBER($I160),ISNUMBER($H160)),$I160,0)</f>
        <v>16</v>
      </c>
      <c r="S160" s="130" t="n">
        <f aca="false">IF(ISNUMBER($G160),$G160,0)</f>
        <v>46423</v>
      </c>
      <c r="T160" s="130" t="n">
        <f aca="false">IF(ISNUMBER($H160),$H160,S160)</f>
        <v>46427</v>
      </c>
      <c r="U160" s="131" t="n">
        <f aca="false">IF(ISNUMBER($A160),IF(Q160="Complete",1,N(INDEX('Scope Checklist'!$I:$I,$A160))),0)</f>
        <v>0</v>
      </c>
      <c r="V160" s="131" t="n">
        <f aca="false">IF(OR(NOT(ISNUMBER($A160)),S160=0),0,IF(Dashboard!$C$4&lt;S160,0,IF(Dashboard!$C$4&gt;=T160,1,NETWORKDAYS(S160,Dashboard!$C$4,$M$6:$M$11)/NETWORKDAYS(S160,T160,$M$6:$M$11))))</f>
        <v>0</v>
      </c>
      <c r="W160" s="129" t="n">
        <f aca="false">R160*U160</f>
        <v>0</v>
      </c>
      <c r="X160" s="129" t="n">
        <f aca="false">R160*V160</f>
        <v>0</v>
      </c>
      <c r="Y160" s="132" t="b">
        <f aca="false">AND(ISNUMBER($A160),ISNUMBER($I160),T160&gt;0,T160&lt;Dashboard!$C$4,U160&lt;1)</f>
        <v>0</v>
      </c>
      <c r="Z160" s="129" t="str">
        <f aca="false">IF(Y160,COUNTIF(Y$6:Y160,TRUE()),"")</f>
        <v/>
      </c>
      <c r="AA160" s="132" t="b">
        <f aca="false">AND(ISNUMBER($A160),ISNUMBER($I160),U160&lt;1,NOT(Y160),S160&gt;0,S160&lt;=WORKDAY(Dashboard!$C$4,10,$M$6:$M$11),T160&gt;=Dashboard!$C$4)</f>
        <v>0</v>
      </c>
      <c r="AB160" s="129" t="str">
        <f aca="false">IF(AA160,COUNTIF(AA$6:AA160,TRUE()),"")</f>
        <v/>
      </c>
    </row>
    <row r="161" customFormat="false" ht="15" hidden="false" customHeight="false" outlineLevel="0" collapsed="false">
      <c r="A161" s="133" t="n">
        <v>181</v>
      </c>
      <c r="B161" s="134" t="n">
        <f aca="false">IF('Scope Checklist'!A181="","-",'Scope Checklist'!A181)</f>
        <v>44</v>
      </c>
      <c r="C161" s="135" t="str">
        <f aca="false">'Scope Checklist'!D181</f>
        <v>Sprinkler pump box cover</v>
      </c>
      <c r="D161" s="62" t="s">
        <v>875</v>
      </c>
      <c r="E161" s="136" t="n">
        <v>0</v>
      </c>
      <c r="F161" s="136" t="n">
        <v>1</v>
      </c>
      <c r="G161" s="64" t="n">
        <f aca="false">WORKDAY(G160,E161,$M$6:$M$11)</f>
        <v>46423</v>
      </c>
      <c r="H161" s="64" t="n">
        <f aca="false">WORKDAY(G161,F161-1,$M$6:$M$11)</f>
        <v>46423</v>
      </c>
      <c r="I161" s="136" t="n">
        <v>1</v>
      </c>
      <c r="J161" s="133" t="s">
        <v>146</v>
      </c>
      <c r="K161" s="62" t="s">
        <v>722</v>
      </c>
      <c r="P161" s="129" t="str">
        <f aca="false">IF(ISNUMBER($A161),INDEX('Scope Checklist'!$B:$B,$A161),"")</f>
        <v>Exterior</v>
      </c>
      <c r="Q161" s="129" t="str">
        <f aca="false">IF(ISNUMBER($A161),INDEX('Scope Checklist'!$E:$E,$A161),"")</f>
        <v>Pending</v>
      </c>
      <c r="R161" s="129" t="n">
        <f aca="false">IF(AND(ISNUMBER($A161),ISNUMBER($I161),ISNUMBER($H161)),$I161,0)</f>
        <v>1</v>
      </c>
      <c r="S161" s="130" t="n">
        <f aca="false">IF(ISNUMBER($G161),$G161,0)</f>
        <v>46423</v>
      </c>
      <c r="T161" s="130" t="n">
        <f aca="false">IF(ISNUMBER($H161),$H161,S161)</f>
        <v>46423</v>
      </c>
      <c r="U161" s="131" t="n">
        <f aca="false">IF(ISNUMBER($A161),IF(Q161="Complete",1,N(INDEX('Scope Checklist'!$I:$I,$A161))),0)</f>
        <v>0</v>
      </c>
      <c r="V161" s="131" t="n">
        <f aca="false">IF(OR(NOT(ISNUMBER($A161)),S161=0),0,IF(Dashboard!$C$4&lt;S161,0,IF(Dashboard!$C$4&gt;=T161,1,NETWORKDAYS(S161,Dashboard!$C$4,$M$6:$M$11)/NETWORKDAYS(S161,T161,$M$6:$M$11))))</f>
        <v>0</v>
      </c>
      <c r="W161" s="129" t="n">
        <f aca="false">R161*U161</f>
        <v>0</v>
      </c>
      <c r="X161" s="129" t="n">
        <f aca="false">R161*V161</f>
        <v>0</v>
      </c>
      <c r="Y161" s="132" t="b">
        <f aca="false">AND(ISNUMBER($A161),ISNUMBER($I161),T161&gt;0,T161&lt;Dashboard!$C$4,U161&lt;1)</f>
        <v>0</v>
      </c>
      <c r="Z161" s="129" t="str">
        <f aca="false">IF(Y161,COUNTIF(Y$6:Y161,TRUE()),"")</f>
        <v/>
      </c>
      <c r="AA161" s="132" t="b">
        <f aca="false">AND(ISNUMBER($A161),ISNUMBER($I161),U161&lt;1,NOT(Y161),S161&gt;0,S161&lt;=WORKDAY(Dashboard!$C$4,10,$M$6:$M$11),T161&gt;=Dashboard!$C$4)</f>
        <v>0</v>
      </c>
      <c r="AB161" s="129" t="str">
        <f aca="false">IF(AA161,COUNTIF(AA$6:AA161,TRUE()),"")</f>
        <v/>
      </c>
    </row>
    <row r="162" customFormat="false" ht="15" hidden="false" customHeight="false" outlineLevel="0" collapsed="false">
      <c r="A162" s="133" t="n">
        <v>178</v>
      </c>
      <c r="B162" s="134" t="n">
        <f aca="false">IF('Scope Checklist'!A178="","-",'Scope Checklist'!A178)</f>
        <v>41</v>
      </c>
      <c r="C162" s="135" t="str">
        <f aca="false">'Scope Checklist'!D178</f>
        <v>Grass installation (front only)</v>
      </c>
      <c r="D162" s="62" t="s">
        <v>876</v>
      </c>
      <c r="E162" s="136" t="n">
        <v>0</v>
      </c>
      <c r="F162" s="136" t="n">
        <v>2</v>
      </c>
      <c r="G162" s="64" t="n">
        <f aca="false">WORKDAY(H160,1+E162,$M$6:$M$11)</f>
        <v>46428</v>
      </c>
      <c r="H162" s="64" t="n">
        <f aca="false">WORKDAY(G162,F162-1,$M$6:$M$11)</f>
        <v>46429</v>
      </c>
      <c r="I162" s="136" t="n">
        <v>16</v>
      </c>
      <c r="J162" s="133" t="s">
        <v>391</v>
      </c>
      <c r="K162" s="62" t="s">
        <v>877</v>
      </c>
      <c r="P162" s="129" t="str">
        <f aca="false">IF(ISNUMBER($A162),INDEX('Scope Checklist'!$B:$B,$A162),"")</f>
        <v>Exterior</v>
      </c>
      <c r="Q162" s="129" t="str">
        <f aca="false">IF(ISNUMBER($A162),INDEX('Scope Checklist'!$E:$E,$A162),"")</f>
        <v>Pending</v>
      </c>
      <c r="R162" s="129" t="n">
        <f aca="false">IF(AND(ISNUMBER($A162),ISNUMBER($I162),ISNUMBER($H162)),$I162,0)</f>
        <v>16</v>
      </c>
      <c r="S162" s="130" t="n">
        <f aca="false">IF(ISNUMBER($G162),$G162,0)</f>
        <v>46428</v>
      </c>
      <c r="T162" s="130" t="n">
        <f aca="false">IF(ISNUMBER($H162),$H162,S162)</f>
        <v>46429</v>
      </c>
      <c r="U162" s="131" t="n">
        <f aca="false">IF(ISNUMBER($A162),IF(Q162="Complete",1,N(INDEX('Scope Checklist'!$I:$I,$A162))),0)</f>
        <v>0</v>
      </c>
      <c r="V162" s="131" t="n">
        <f aca="false">IF(OR(NOT(ISNUMBER($A162)),S162=0),0,IF(Dashboard!$C$4&lt;S162,0,IF(Dashboard!$C$4&gt;=T162,1,NETWORKDAYS(S162,Dashboard!$C$4,$M$6:$M$11)/NETWORKDAYS(S162,T162,$M$6:$M$11))))</f>
        <v>0</v>
      </c>
      <c r="W162" s="129" t="n">
        <f aca="false">R162*U162</f>
        <v>0</v>
      </c>
      <c r="X162" s="129" t="n">
        <f aca="false">R162*V162</f>
        <v>0</v>
      </c>
      <c r="Y162" s="132" t="b">
        <f aca="false">AND(ISNUMBER($A162),ISNUMBER($I162),T162&gt;0,T162&lt;Dashboard!$C$4,U162&lt;1)</f>
        <v>0</v>
      </c>
      <c r="Z162" s="129" t="str">
        <f aca="false">IF(Y162,COUNTIF(Y$6:Y162,TRUE()),"")</f>
        <v/>
      </c>
      <c r="AA162" s="132" t="b">
        <f aca="false">AND(ISNUMBER($A162),ISNUMBER($I162),U162&lt;1,NOT(Y162),S162&gt;0,S162&lt;=WORKDAY(Dashboard!$C$4,10,$M$6:$M$11),T162&gt;=Dashboard!$C$4)</f>
        <v>0</v>
      </c>
      <c r="AB162" s="129" t="str">
        <f aca="false">IF(AA162,COUNTIF(AA$6:AA162,TRUE()),"")</f>
        <v/>
      </c>
    </row>
    <row r="163" customFormat="false" ht="15" hidden="false" customHeight="false" outlineLevel="0" collapsed="false">
      <c r="A163" s="133" t="n">
        <v>185</v>
      </c>
      <c r="B163" s="134" t="n">
        <f aca="false">IF('Scope Checklist'!A185="","-",'Scope Checklist'!A185)</f>
        <v>48</v>
      </c>
      <c r="C163" s="135" t="str">
        <f aca="false">'Scope Checklist'!D185</f>
        <v>Screen door - alignment + lock functionality</v>
      </c>
      <c r="D163" s="62" t="s">
        <v>878</v>
      </c>
      <c r="E163" s="136" t="n">
        <v>0</v>
      </c>
      <c r="F163" s="136" t="n">
        <v>1</v>
      </c>
      <c r="G163" s="64" t="n">
        <f aca="false">WORKDAY(H120,1+E163,$M$6:$M$11)</f>
        <v>46440</v>
      </c>
      <c r="H163" s="64" t="n">
        <f aca="false">WORKDAY(G163,F163-1,$M$6:$M$11)</f>
        <v>46440</v>
      </c>
      <c r="I163" s="136" t="n">
        <v>2</v>
      </c>
      <c r="J163" s="133" t="s">
        <v>184</v>
      </c>
      <c r="K163" s="62" t="s">
        <v>722</v>
      </c>
      <c r="P163" s="129" t="str">
        <f aca="false">IF(ISNUMBER($A163),INDEX('Scope Checklist'!$B:$B,$A163),"")</f>
        <v>Exterior</v>
      </c>
      <c r="Q163" s="129" t="str">
        <f aca="false">IF(ISNUMBER($A163),INDEX('Scope Checklist'!$E:$E,$A163),"")</f>
        <v>Pending</v>
      </c>
      <c r="R163" s="129" t="n">
        <f aca="false">IF(AND(ISNUMBER($A163),ISNUMBER($I163),ISNUMBER($H163)),$I163,0)</f>
        <v>2</v>
      </c>
      <c r="S163" s="130" t="n">
        <f aca="false">IF(ISNUMBER($G163),$G163,0)</f>
        <v>46440</v>
      </c>
      <c r="T163" s="130" t="n">
        <f aca="false">IF(ISNUMBER($H163),$H163,S163)</f>
        <v>46440</v>
      </c>
      <c r="U163" s="131" t="n">
        <f aca="false">IF(ISNUMBER($A163),IF(Q163="Complete",1,N(INDEX('Scope Checklist'!$I:$I,$A163))),0)</f>
        <v>0</v>
      </c>
      <c r="V163" s="131" t="n">
        <f aca="false">IF(OR(NOT(ISNUMBER($A163)),S163=0),0,IF(Dashboard!$C$4&lt;S163,0,IF(Dashboard!$C$4&gt;=T163,1,NETWORKDAYS(S163,Dashboard!$C$4,$M$6:$M$11)/NETWORKDAYS(S163,T163,$M$6:$M$11))))</f>
        <v>0</v>
      </c>
      <c r="W163" s="129" t="n">
        <f aca="false">R163*U163</f>
        <v>0</v>
      </c>
      <c r="X163" s="129" t="n">
        <f aca="false">R163*V163</f>
        <v>0</v>
      </c>
      <c r="Y163" s="132" t="b">
        <f aca="false">AND(ISNUMBER($A163),ISNUMBER($I163),T163&gt;0,T163&lt;Dashboard!$C$4,U163&lt;1)</f>
        <v>0</v>
      </c>
      <c r="Z163" s="129" t="str">
        <f aca="false">IF(Y163,COUNTIF(Y$6:Y163,TRUE()),"")</f>
        <v/>
      </c>
      <c r="AA163" s="132" t="b">
        <f aca="false">AND(ISNUMBER($A163),ISNUMBER($I163),U163&lt;1,NOT(Y163),S163&gt;0,S163&lt;=WORKDAY(Dashboard!$C$4,10,$M$6:$M$11),T163&gt;=Dashboard!$C$4)</f>
        <v>0</v>
      </c>
      <c r="AB163" s="129" t="str">
        <f aca="false">IF(AA163,COUNTIF(AA$6:AA163,TRUE()),"")</f>
        <v/>
      </c>
    </row>
    <row r="164" customFormat="false" ht="15" hidden="false" customHeight="false" outlineLevel="0" collapsed="false">
      <c r="A164" s="133" t="n">
        <v>186</v>
      </c>
      <c r="B164" s="134" t="n">
        <f aca="false">IF('Scope Checklist'!A186="","-",'Scope Checklist'!A186)</f>
        <v>49</v>
      </c>
      <c r="C164" s="135" t="str">
        <f aca="false">'Scope Checklist'!D186</f>
        <v>Exterior light fixtures</v>
      </c>
      <c r="D164" s="62" t="s">
        <v>796</v>
      </c>
      <c r="E164" s="136" t="n">
        <v>0</v>
      </c>
      <c r="F164" s="136" t="n">
        <v>1</v>
      </c>
      <c r="G164" s="64" t="n">
        <f aca="false">WORKDAY(G48,E164,$M$6:$M$11)</f>
        <v>46451</v>
      </c>
      <c r="H164" s="64" t="n">
        <f aca="false">WORKDAY(G164,F164-1,$M$6:$M$11)</f>
        <v>46451</v>
      </c>
      <c r="I164" s="136" t="n">
        <v>6</v>
      </c>
      <c r="J164" s="133" t="s">
        <v>194</v>
      </c>
      <c r="K164" s="62" t="s">
        <v>879</v>
      </c>
      <c r="P164" s="129" t="str">
        <f aca="false">IF(ISNUMBER($A164),INDEX('Scope Checklist'!$B:$B,$A164),"")</f>
        <v>Exterior</v>
      </c>
      <c r="Q164" s="129" t="str">
        <f aca="false">IF(ISNUMBER($A164),INDEX('Scope Checklist'!$E:$E,$A164),"")</f>
        <v>Pending</v>
      </c>
      <c r="R164" s="129" t="n">
        <f aca="false">IF(AND(ISNUMBER($A164),ISNUMBER($I164),ISNUMBER($H164)),$I164,0)</f>
        <v>6</v>
      </c>
      <c r="S164" s="130" t="n">
        <f aca="false">IF(ISNUMBER($G164),$G164,0)</f>
        <v>46451</v>
      </c>
      <c r="T164" s="130" t="n">
        <f aca="false">IF(ISNUMBER($H164),$H164,S164)</f>
        <v>46451</v>
      </c>
      <c r="U164" s="131" t="n">
        <f aca="false">IF(ISNUMBER($A164),IF(Q164="Complete",1,N(INDEX('Scope Checklist'!$I:$I,$A164))),0)</f>
        <v>0</v>
      </c>
      <c r="V164" s="131" t="n">
        <f aca="false">IF(OR(NOT(ISNUMBER($A164)),S164=0),0,IF(Dashboard!$C$4&lt;S164,0,IF(Dashboard!$C$4&gt;=T164,1,NETWORKDAYS(S164,Dashboard!$C$4,$M$6:$M$11)/NETWORKDAYS(S164,T164,$M$6:$M$11))))</f>
        <v>0</v>
      </c>
      <c r="W164" s="129" t="n">
        <f aca="false">R164*U164</f>
        <v>0</v>
      </c>
      <c r="X164" s="129" t="n">
        <f aca="false">R164*V164</f>
        <v>0</v>
      </c>
      <c r="Y164" s="132" t="b">
        <f aca="false">AND(ISNUMBER($A164),ISNUMBER($I164),T164&gt;0,T164&lt;Dashboard!$C$4,U164&lt;1)</f>
        <v>0</v>
      </c>
      <c r="Z164" s="129" t="str">
        <f aca="false">IF(Y164,COUNTIF(Y$6:Y164,TRUE()),"")</f>
        <v/>
      </c>
      <c r="AA164" s="132" t="b">
        <f aca="false">AND(ISNUMBER($A164),ISNUMBER($I164),U164&lt;1,NOT(Y164),S164&gt;0,S164&lt;=WORKDAY(Dashboard!$C$4,10,$M$6:$M$11),T164&gt;=Dashboard!$C$4)</f>
        <v>0</v>
      </c>
      <c r="AB164" s="129" t="str">
        <f aca="false">IF(AA164,COUNTIF(AA$6:AA164,TRUE()),"")</f>
        <v/>
      </c>
    </row>
    <row r="165" customFormat="false" ht="15" hidden="false" customHeight="false" outlineLevel="0" collapsed="false">
      <c r="A165" s="133" t="n">
        <v>187</v>
      </c>
      <c r="B165" s="134" t="n">
        <f aca="false">IF('Scope Checklist'!A187="","-",'Scope Checklist'!A187)</f>
        <v>50</v>
      </c>
      <c r="C165" s="135" t="str">
        <f aca="false">'Scope Checklist'!D187</f>
        <v>House numbers and mailbox</v>
      </c>
      <c r="D165" s="62" t="s">
        <v>880</v>
      </c>
      <c r="E165" s="136" t="n">
        <v>0</v>
      </c>
      <c r="F165" s="136" t="n">
        <v>1</v>
      </c>
      <c r="G165" s="64" t="n">
        <f aca="false">WORKDAY(H158,1+E165,$M$6:$M$11)</f>
        <v>46423</v>
      </c>
      <c r="H165" s="64" t="n">
        <f aca="false">WORKDAY(G165,F165-1,$M$6:$M$11)</f>
        <v>46423</v>
      </c>
      <c r="I165" s="136" t="n">
        <v>2</v>
      </c>
      <c r="J165" s="133" t="s">
        <v>146</v>
      </c>
      <c r="K165" s="62" t="s">
        <v>722</v>
      </c>
      <c r="P165" s="129" t="str">
        <f aca="false">IF(ISNUMBER($A165),INDEX('Scope Checklist'!$B:$B,$A165),"")</f>
        <v>Exterior</v>
      </c>
      <c r="Q165" s="129" t="str">
        <f aca="false">IF(ISNUMBER($A165),INDEX('Scope Checklist'!$E:$E,$A165),"")</f>
        <v>Pending</v>
      </c>
      <c r="R165" s="129" t="n">
        <f aca="false">IF(AND(ISNUMBER($A165),ISNUMBER($I165),ISNUMBER($H165)),$I165,0)</f>
        <v>2</v>
      </c>
      <c r="S165" s="130" t="n">
        <f aca="false">IF(ISNUMBER($G165),$G165,0)</f>
        <v>46423</v>
      </c>
      <c r="T165" s="130" t="n">
        <f aca="false">IF(ISNUMBER($H165),$H165,S165)</f>
        <v>46423</v>
      </c>
      <c r="U165" s="131" t="n">
        <f aca="false">IF(ISNUMBER($A165),IF(Q165="Complete",1,N(INDEX('Scope Checklist'!$I:$I,$A165))),0)</f>
        <v>0</v>
      </c>
      <c r="V165" s="131" t="n">
        <f aca="false">IF(OR(NOT(ISNUMBER($A165)),S165=0),0,IF(Dashboard!$C$4&lt;S165,0,IF(Dashboard!$C$4&gt;=T165,1,NETWORKDAYS(S165,Dashboard!$C$4,$M$6:$M$11)/NETWORKDAYS(S165,T165,$M$6:$M$11))))</f>
        <v>0</v>
      </c>
      <c r="W165" s="129" t="n">
        <f aca="false">R165*U165</f>
        <v>0</v>
      </c>
      <c r="X165" s="129" t="n">
        <f aca="false">R165*V165</f>
        <v>0</v>
      </c>
      <c r="Y165" s="132" t="b">
        <f aca="false">AND(ISNUMBER($A165),ISNUMBER($I165),T165&gt;0,T165&lt;Dashboard!$C$4,U165&lt;1)</f>
        <v>0</v>
      </c>
      <c r="Z165" s="129" t="str">
        <f aca="false">IF(Y165,COUNTIF(Y$6:Y165,TRUE()),"")</f>
        <v/>
      </c>
      <c r="AA165" s="132" t="b">
        <f aca="false">AND(ISNUMBER($A165),ISNUMBER($I165),U165&lt;1,NOT(Y165),S165&gt;0,S165&lt;=WORKDAY(Dashboard!$C$4,10,$M$6:$M$11),T165&gt;=Dashboard!$C$4)</f>
        <v>0</v>
      </c>
      <c r="AB165" s="129" t="str">
        <f aca="false">IF(AA165,COUNTIF(AA$6:AA165,TRUE()),"")</f>
        <v/>
      </c>
    </row>
    <row r="166" customFormat="false" ht="15" hidden="false" customHeight="false" outlineLevel="0" collapsed="false">
      <c r="A166" s="133" t="n">
        <v>189</v>
      </c>
      <c r="B166" s="134" t="str">
        <f aca="false">IF('Scope Checklist'!A189="","-",'Scope Checklist'!A189)</f>
        <v>N16</v>
      </c>
      <c r="C166" s="135" t="str">
        <f aca="false">'Scope Checklist'!D189</f>
        <v>Gazebo / outdoor BBQ area (if kept in scope)</v>
      </c>
      <c r="D166" s="62" t="s">
        <v>881</v>
      </c>
      <c r="E166" s="136" t="n">
        <v>0</v>
      </c>
      <c r="F166" s="136" t="n">
        <v>5</v>
      </c>
      <c r="G166" s="64" t="n">
        <f aca="false">WORKDAY(MAX(H27,H158),1+E166,$M$6:$M$11)</f>
        <v>46423</v>
      </c>
      <c r="H166" s="64" t="n">
        <f aca="false">WORKDAY(G166,F166-1,$M$6:$M$11)</f>
        <v>46429</v>
      </c>
      <c r="I166" s="136" t="n">
        <v>40</v>
      </c>
      <c r="J166" s="133" t="s">
        <v>391</v>
      </c>
      <c r="K166" s="62" t="s">
        <v>882</v>
      </c>
      <c r="P166" s="129" t="str">
        <f aca="false">IF(ISNUMBER($A166),INDEX('Scope Checklist'!$B:$B,$A166),"")</f>
        <v>Exterior</v>
      </c>
      <c r="Q166" s="129" t="str">
        <f aca="false">IF(ISNUMBER($A166),INDEX('Scope Checklist'!$E:$E,$A166),"")</f>
        <v>Pending</v>
      </c>
      <c r="R166" s="129" t="n">
        <f aca="false">IF(AND(ISNUMBER($A166),ISNUMBER($I166),ISNUMBER($H166)),$I166,0)</f>
        <v>40</v>
      </c>
      <c r="S166" s="130" t="n">
        <f aca="false">IF(ISNUMBER($G166),$G166,0)</f>
        <v>46423</v>
      </c>
      <c r="T166" s="130" t="n">
        <f aca="false">IF(ISNUMBER($H166),$H166,S166)</f>
        <v>46429</v>
      </c>
      <c r="U166" s="131" t="n">
        <f aca="false">IF(ISNUMBER($A166),IF(Q166="Complete",1,N(INDEX('Scope Checklist'!$I:$I,$A166))),0)</f>
        <v>0</v>
      </c>
      <c r="V166" s="131" t="n">
        <f aca="false">IF(OR(NOT(ISNUMBER($A166)),S166=0),0,IF(Dashboard!$C$4&lt;S166,0,IF(Dashboard!$C$4&gt;=T166,1,NETWORKDAYS(S166,Dashboard!$C$4,$M$6:$M$11)/NETWORKDAYS(S166,T166,$M$6:$M$11))))</f>
        <v>0</v>
      </c>
      <c r="W166" s="129" t="n">
        <f aca="false">R166*U166</f>
        <v>0</v>
      </c>
      <c r="X166" s="129" t="n">
        <f aca="false">R166*V166</f>
        <v>0</v>
      </c>
      <c r="Y166" s="132" t="b">
        <f aca="false">AND(ISNUMBER($A166),ISNUMBER($I166),T166&gt;0,T166&lt;Dashboard!$C$4,U166&lt;1)</f>
        <v>0</v>
      </c>
      <c r="Z166" s="129" t="str">
        <f aca="false">IF(Y166,COUNTIF(Y$6:Y166,TRUE()),"")</f>
        <v/>
      </c>
      <c r="AA166" s="132" t="b">
        <f aca="false">AND(ISNUMBER($A166),ISNUMBER($I166),U166&lt;1,NOT(Y166),S166&gt;0,S166&lt;=WORKDAY(Dashboard!$C$4,10,$M$6:$M$11),T166&gt;=Dashboard!$C$4)</f>
        <v>0</v>
      </c>
      <c r="AB166" s="129" t="str">
        <f aca="false">IF(AA166,COUNTIF(AA$6:AA166,TRUE()),"")</f>
        <v/>
      </c>
    </row>
    <row r="168" customFormat="false" ht="15" hidden="false" customHeight="false" outlineLevel="0" collapsed="false">
      <c r="C168" s="54" t="s">
        <v>883</v>
      </c>
    </row>
    <row r="169" customFormat="false" ht="15" hidden="false" customHeight="false" outlineLevel="0" collapsed="false">
      <c r="C169" s="144" t="s">
        <v>546</v>
      </c>
      <c r="H169" s="145" t="n">
        <f aca="false">MAX(H21,H22,H23,H24)</f>
        <v>46370</v>
      </c>
    </row>
    <row r="170" customFormat="false" ht="15" hidden="false" customHeight="false" outlineLevel="0" collapsed="false">
      <c r="C170" s="144" t="s">
        <v>548</v>
      </c>
      <c r="H170" s="145" t="n">
        <f aca="false">H38</f>
        <v>46394</v>
      </c>
    </row>
    <row r="171" customFormat="false" ht="15" hidden="false" customHeight="false" outlineLevel="0" collapsed="false">
      <c r="C171" s="144" t="s">
        <v>549</v>
      </c>
      <c r="H171" s="145" t="n">
        <f aca="false">H41</f>
        <v>46413</v>
      </c>
    </row>
    <row r="172" customFormat="false" ht="15" hidden="false" customHeight="false" outlineLevel="0" collapsed="false">
      <c r="C172" s="144" t="s">
        <v>547</v>
      </c>
      <c r="H172" s="145" t="n">
        <f aca="false">H57</f>
        <v>46374</v>
      </c>
    </row>
    <row r="173" customFormat="false" ht="15" hidden="false" customHeight="false" outlineLevel="0" collapsed="false">
      <c r="C173" s="144" t="s">
        <v>553</v>
      </c>
      <c r="H173" s="145" t="n">
        <f aca="false">H43</f>
        <v>46450</v>
      </c>
    </row>
    <row r="174" customFormat="false" ht="15" hidden="false" customHeight="false" outlineLevel="0" collapsed="false">
      <c r="C174" s="144" t="s">
        <v>884</v>
      </c>
      <c r="H174" s="145" t="n">
        <f aca="false">H55</f>
        <v>46456</v>
      </c>
    </row>
    <row r="175" customFormat="false" ht="15" hidden="false" customHeight="false" outlineLevel="0" collapsed="false">
      <c r="C175" s="144" t="s">
        <v>885</v>
      </c>
      <c r="H175" s="145" t="n">
        <f aca="false">MAX(H60,H61)</f>
        <v>46455</v>
      </c>
    </row>
    <row r="176" customFormat="false" ht="15" hidden="false" customHeight="false" outlineLevel="0" collapsed="false">
      <c r="C176" s="144" t="s">
        <v>886</v>
      </c>
      <c r="H176" s="145" t="n">
        <f aca="false">MAX(H67,H68)</f>
        <v>46451</v>
      </c>
    </row>
    <row r="177" customFormat="false" ht="15" hidden="false" customHeight="false" outlineLevel="0" collapsed="false">
      <c r="C177" s="144" t="s">
        <v>551</v>
      </c>
      <c r="H177" s="145" t="n">
        <f aca="false">H73</f>
        <v>46437</v>
      </c>
    </row>
    <row r="178" customFormat="false" ht="15" hidden="false" customHeight="false" outlineLevel="0" collapsed="false">
      <c r="C178" s="144" t="s">
        <v>554</v>
      </c>
      <c r="H178" s="145" t="n">
        <f aca="false">MAX(H77,H78)</f>
        <v>46457</v>
      </c>
    </row>
    <row r="179" customFormat="false" ht="15" hidden="false" customHeight="false" outlineLevel="0" collapsed="false">
      <c r="C179" s="144" t="s">
        <v>550</v>
      </c>
      <c r="H179" s="145" t="n">
        <f aca="false">H88</f>
        <v>46420</v>
      </c>
    </row>
    <row r="180" customFormat="false" ht="15" hidden="false" customHeight="false" outlineLevel="0" collapsed="false">
      <c r="C180" s="144" t="s">
        <v>41</v>
      </c>
      <c r="H180" s="145" t="n">
        <f aca="false">MAX(H89,H106)</f>
        <v>46434</v>
      </c>
    </row>
    <row r="181" customFormat="false" ht="15" hidden="false" customHeight="false" outlineLevel="0" collapsed="false">
      <c r="C181" s="144" t="s">
        <v>555</v>
      </c>
      <c r="H181" s="145" t="n">
        <f aca="false">MAX(H95,H111,H96,H112,H98,H99,H114)</f>
        <v>46458</v>
      </c>
    </row>
    <row r="182" customFormat="false" ht="15" hidden="false" customHeight="false" outlineLevel="0" collapsed="false">
      <c r="C182" s="144" t="s">
        <v>552</v>
      </c>
      <c r="H182" s="145" t="n">
        <f aca="false">MAX(H116,H124)</f>
        <v>46442</v>
      </c>
    </row>
    <row r="183" customFormat="false" ht="15" hidden="false" customHeight="false" outlineLevel="0" collapsed="false">
      <c r="C183" s="144" t="s">
        <v>43</v>
      </c>
      <c r="H183" s="145" t="n">
        <f aca="false">H134</f>
        <v>46465</v>
      </c>
    </row>
    <row r="184" customFormat="false" ht="15" hidden="false" customHeight="false" outlineLevel="0" collapsed="false">
      <c r="C184" s="144" t="s">
        <v>556</v>
      </c>
      <c r="H184" s="145" t="n">
        <f aca="false">H135</f>
        <v>46472</v>
      </c>
    </row>
    <row r="185" customFormat="false" ht="15" hidden="false" customHeight="false" outlineLevel="0" collapsed="false">
      <c r="C185" s="144" t="s">
        <v>45</v>
      </c>
      <c r="H185" s="145" t="n">
        <f aca="false">MAX(H162,H159,H166,H146,H151,H144)</f>
        <v>46437</v>
      </c>
    </row>
    <row r="186" customFormat="false" ht="15" hidden="false" customHeight="false" outlineLevel="0" collapsed="false">
      <c r="C186" s="144" t="s">
        <v>557</v>
      </c>
      <c r="H186" s="145" t="n">
        <f aca="false">H139</f>
        <v>46477</v>
      </c>
    </row>
    <row r="187" customFormat="false" ht="15" hidden="false" customHeight="false" outlineLevel="0" collapsed="false">
      <c r="C187" s="144" t="s">
        <v>887</v>
      </c>
      <c r="I187" s="146" t="n">
        <f aca="false">SUM(I7:I30)</f>
        <v>217</v>
      </c>
    </row>
    <row r="188" customFormat="false" ht="15" hidden="false" customHeight="false" outlineLevel="0" collapsed="false">
      <c r="C188" s="144" t="s">
        <v>888</v>
      </c>
      <c r="I188" s="146" t="n">
        <f aca="false">SUM(I32:I41)</f>
        <v>360</v>
      </c>
    </row>
    <row r="189" customFormat="false" ht="15" hidden="false" customHeight="false" outlineLevel="0" collapsed="false">
      <c r="C189" s="144" t="s">
        <v>889</v>
      </c>
      <c r="I189" s="146" t="n">
        <f aca="false">SUM(I45:I55)</f>
        <v>139</v>
      </c>
    </row>
    <row r="190" customFormat="false" ht="15" hidden="false" customHeight="false" outlineLevel="0" collapsed="false">
      <c r="C190" s="144" t="s">
        <v>890</v>
      </c>
      <c r="I190" s="146" t="n">
        <f aca="false">SUM(I57:I61)</f>
        <v>94</v>
      </c>
    </row>
    <row r="191" customFormat="false" ht="15" hidden="false" customHeight="false" outlineLevel="0" collapsed="false">
      <c r="C191" s="144" t="s">
        <v>891</v>
      </c>
      <c r="I191" s="146" t="n">
        <f aca="false">SUM(I63:I69)</f>
        <v>53</v>
      </c>
    </row>
    <row r="192" customFormat="false" ht="15" hidden="false" customHeight="false" outlineLevel="0" collapsed="false">
      <c r="C192" s="144" t="s">
        <v>892</v>
      </c>
      <c r="I192" s="146" t="n">
        <f aca="false">SUM(I71:I78)</f>
        <v>71</v>
      </c>
    </row>
    <row r="193" customFormat="false" ht="15" hidden="false" customHeight="false" outlineLevel="0" collapsed="false">
      <c r="C193" s="144" t="s">
        <v>893</v>
      </c>
      <c r="I193" s="146" t="n">
        <f aca="false">SUM(I80:I99)</f>
        <v>201</v>
      </c>
    </row>
    <row r="194" customFormat="false" ht="15" hidden="false" customHeight="false" outlineLevel="0" collapsed="false">
      <c r="C194" s="144" t="s">
        <v>894</v>
      </c>
      <c r="I194" s="146" t="n">
        <f aca="false">SUM(I101:I114)</f>
        <v>79</v>
      </c>
    </row>
    <row r="195" customFormat="false" ht="15" hidden="false" customHeight="false" outlineLevel="0" collapsed="false">
      <c r="C195" s="144" t="s">
        <v>895</v>
      </c>
      <c r="I195" s="146" t="n">
        <f aca="false">SUM(I116:I132)</f>
        <v>398</v>
      </c>
    </row>
    <row r="196" customFormat="false" ht="15" hidden="false" customHeight="false" outlineLevel="0" collapsed="false">
      <c r="C196" s="144" t="s">
        <v>896</v>
      </c>
      <c r="I196" s="146" t="n">
        <f aca="false">SUM(I134:I139)</f>
        <v>76</v>
      </c>
    </row>
    <row r="197" customFormat="false" ht="15" hidden="false" customHeight="false" outlineLevel="0" collapsed="false">
      <c r="C197" s="144" t="s">
        <v>897</v>
      </c>
      <c r="I197" s="146" t="n">
        <f aca="false">SUM(I141:I166)</f>
        <v>327</v>
      </c>
    </row>
    <row r="198" customFormat="false" ht="15" hidden="false" customHeight="false" outlineLevel="0" collapsed="false">
      <c r="C198" s="144" t="s">
        <v>898</v>
      </c>
      <c r="I198" s="146" t="n">
        <f aca="false">SUM(I6:I166)</f>
        <v>2015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6" activeCellId="0" sqref="A6"/>
    </sheetView>
  </sheetViews>
  <sheetFormatPr defaultColWidth="8.6640625" defaultRowHeight="14.2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100"/>
  </cols>
  <sheetData>
    <row r="1" customFormat="false" ht="15" hidden="false" customHeight="true" outlineLevel="0" collapsed="false">
      <c r="A1" s="147" t="s">
        <v>899</v>
      </c>
    </row>
    <row r="2" customFormat="false" ht="14.25" hidden="false" customHeight="false" outlineLevel="0" collapsed="false">
      <c r="A2" s="56" t="s">
        <v>900</v>
      </c>
    </row>
    <row r="4" customFormat="false" ht="14.25" hidden="false" customHeight="false" outlineLevel="0" collapsed="false">
      <c r="A4" s="148" t="s">
        <v>901</v>
      </c>
      <c r="B4" s="148"/>
      <c r="C4" s="148"/>
    </row>
    <row r="5" customFormat="false" ht="14.25" hidden="false" customHeight="false" outlineLevel="0" collapsed="false">
      <c r="A5" s="149" t="s">
        <v>902</v>
      </c>
      <c r="B5" s="149" t="s">
        <v>49</v>
      </c>
      <c r="C5" s="149" t="s">
        <v>903</v>
      </c>
    </row>
    <row r="6" customFormat="false" ht="14.25" hidden="false" customHeight="false" outlineLevel="0" collapsed="false">
      <c r="A6" s="150" t="s">
        <v>145</v>
      </c>
      <c r="B6" s="68" t="s">
        <v>146</v>
      </c>
      <c r="C6" s="62" t="s">
        <v>904</v>
      </c>
    </row>
    <row r="7" customFormat="false" ht="14.25" hidden="false" customHeight="false" outlineLevel="0" collapsed="false">
      <c r="A7" s="150" t="s">
        <v>160</v>
      </c>
      <c r="B7" s="68" t="s">
        <v>146</v>
      </c>
      <c r="C7" s="62" t="s">
        <v>905</v>
      </c>
    </row>
    <row r="8" customFormat="false" ht="14.25" hidden="false" customHeight="false" outlineLevel="0" collapsed="false">
      <c r="A8" s="150" t="s">
        <v>157</v>
      </c>
      <c r="B8" s="68" t="s">
        <v>146</v>
      </c>
      <c r="C8" s="62" t="s">
        <v>906</v>
      </c>
    </row>
    <row r="9" customFormat="false" ht="14.25" hidden="false" customHeight="false" outlineLevel="0" collapsed="false">
      <c r="A9" s="150" t="s">
        <v>154</v>
      </c>
      <c r="B9" s="68" t="s">
        <v>146</v>
      </c>
      <c r="C9" s="62" t="s">
        <v>907</v>
      </c>
    </row>
    <row r="10" customFormat="false" ht="14.25" hidden="false" customHeight="false" outlineLevel="0" collapsed="false">
      <c r="A10" s="150" t="s">
        <v>163</v>
      </c>
      <c r="B10" s="68" t="s">
        <v>164</v>
      </c>
      <c r="C10" s="62" t="s">
        <v>908</v>
      </c>
    </row>
    <row r="11" customFormat="false" ht="26.25" hidden="false" customHeight="true" outlineLevel="0" collapsed="false">
      <c r="A11" s="150" t="s">
        <v>167</v>
      </c>
      <c r="B11" s="68" t="s">
        <v>164</v>
      </c>
      <c r="C11" s="62" t="s">
        <v>909</v>
      </c>
    </row>
    <row r="12" customFormat="false" ht="14.25" hidden="false" customHeight="false" outlineLevel="0" collapsed="false">
      <c r="A12" s="150" t="s">
        <v>910</v>
      </c>
      <c r="B12" s="68" t="s">
        <v>124</v>
      </c>
      <c r="C12" s="62" t="s">
        <v>911</v>
      </c>
    </row>
    <row r="13" customFormat="false" ht="26.25" hidden="false" customHeight="true" outlineLevel="0" collapsed="false">
      <c r="A13" s="150" t="s">
        <v>183</v>
      </c>
      <c r="B13" s="68" t="s">
        <v>184</v>
      </c>
      <c r="C13" s="62" t="s">
        <v>912</v>
      </c>
    </row>
    <row r="14" customFormat="false" ht="14.25" hidden="false" customHeight="false" outlineLevel="0" collapsed="false">
      <c r="A14" s="150" t="s">
        <v>202</v>
      </c>
      <c r="B14" s="68" t="s">
        <v>913</v>
      </c>
      <c r="C14" s="62" t="s">
        <v>914</v>
      </c>
    </row>
    <row r="15" customFormat="false" ht="14.25" hidden="false" customHeight="false" outlineLevel="0" collapsed="false">
      <c r="A15" s="150" t="s">
        <v>229</v>
      </c>
      <c r="B15" s="68" t="s">
        <v>164</v>
      </c>
      <c r="C15" s="62" t="s">
        <v>915</v>
      </c>
    </row>
    <row r="16" customFormat="false" ht="26.25" hidden="false" customHeight="true" outlineLevel="0" collapsed="false">
      <c r="A16" s="150" t="s">
        <v>293</v>
      </c>
      <c r="B16" s="68" t="s">
        <v>164</v>
      </c>
      <c r="C16" s="62" t="s">
        <v>916</v>
      </c>
    </row>
    <row r="17" customFormat="false" ht="26.25" hidden="false" customHeight="true" outlineLevel="0" collapsed="false">
      <c r="A17" s="150" t="s">
        <v>298</v>
      </c>
      <c r="B17" s="68" t="s">
        <v>917</v>
      </c>
      <c r="C17" s="62" t="s">
        <v>918</v>
      </c>
    </row>
    <row r="18" customFormat="false" ht="26.25" hidden="false" customHeight="true" outlineLevel="0" collapsed="false">
      <c r="A18" s="150" t="s">
        <v>303</v>
      </c>
      <c r="B18" s="68" t="s">
        <v>382</v>
      </c>
      <c r="C18" s="62" t="s">
        <v>919</v>
      </c>
    </row>
    <row r="19" customFormat="false" ht="39" hidden="false" customHeight="true" outlineLevel="0" collapsed="false">
      <c r="A19" s="150" t="s">
        <v>248</v>
      </c>
      <c r="B19" s="68" t="s">
        <v>382</v>
      </c>
      <c r="C19" s="62" t="s">
        <v>920</v>
      </c>
    </row>
    <row r="20" customFormat="false" ht="14.25" hidden="false" customHeight="false" outlineLevel="0" collapsed="false">
      <c r="A20" s="150" t="s">
        <v>475</v>
      </c>
      <c r="B20" s="68" t="s">
        <v>146</v>
      </c>
      <c r="C20" s="62" t="s">
        <v>921</v>
      </c>
    </row>
    <row r="21" customFormat="false" ht="26.25" hidden="false" customHeight="true" outlineLevel="0" collapsed="false">
      <c r="A21" s="150" t="s">
        <v>508</v>
      </c>
      <c r="B21" s="68" t="s">
        <v>146</v>
      </c>
      <c r="C21" s="62" t="s">
        <v>922</v>
      </c>
    </row>
    <row r="22" customFormat="false" ht="14.25" hidden="false" customHeight="false" outlineLevel="0" collapsed="false">
      <c r="A22" s="150" t="s">
        <v>322</v>
      </c>
      <c r="B22" s="68" t="s">
        <v>184</v>
      </c>
      <c r="C22" s="62" t="s">
        <v>923</v>
      </c>
    </row>
    <row r="23" customFormat="false" ht="26.25" hidden="false" customHeight="true" outlineLevel="0" collapsed="false">
      <c r="A23" s="150" t="s">
        <v>329</v>
      </c>
      <c r="B23" s="68" t="s">
        <v>184</v>
      </c>
      <c r="C23" s="62" t="s">
        <v>924</v>
      </c>
    </row>
    <row r="24" customFormat="false" ht="14.25" hidden="false" customHeight="false" outlineLevel="0" collapsed="false">
      <c r="A24" s="150" t="s">
        <v>491</v>
      </c>
      <c r="B24" s="68" t="s">
        <v>146</v>
      </c>
      <c r="C24" s="62" t="s">
        <v>925</v>
      </c>
    </row>
    <row r="25" customFormat="false" ht="14.25" hidden="false" customHeight="false" outlineLevel="0" collapsed="false">
      <c r="A25" s="150" t="s">
        <v>366</v>
      </c>
      <c r="B25" s="68" t="s">
        <v>184</v>
      </c>
      <c r="C25" s="62" t="s">
        <v>926</v>
      </c>
    </row>
    <row r="26" customFormat="false" ht="26.25" hidden="false" customHeight="true" outlineLevel="0" collapsed="false">
      <c r="A26" s="150" t="s">
        <v>927</v>
      </c>
      <c r="B26" s="68" t="s">
        <v>194</v>
      </c>
      <c r="C26" s="62" t="s">
        <v>928</v>
      </c>
    </row>
    <row r="28" customFormat="false" ht="14.25" hidden="false" customHeight="false" outlineLevel="0" collapsed="false">
      <c r="A28" s="151" t="s">
        <v>929</v>
      </c>
      <c r="B28" s="151"/>
      <c r="C28" s="151"/>
    </row>
    <row r="29" customFormat="false" ht="14.25" hidden="false" customHeight="false" outlineLevel="0" collapsed="false">
      <c r="A29" s="149" t="s">
        <v>902</v>
      </c>
      <c r="B29" s="149" t="s">
        <v>49</v>
      </c>
      <c r="C29" s="149" t="s">
        <v>903</v>
      </c>
    </row>
    <row r="30" customFormat="false" ht="26.25" hidden="false" customHeight="true" outlineLevel="0" collapsed="false">
      <c r="A30" s="150" t="s">
        <v>341</v>
      </c>
      <c r="B30" s="68" t="s">
        <v>391</v>
      </c>
      <c r="C30" s="62" t="s">
        <v>930</v>
      </c>
    </row>
    <row r="31" customFormat="false" ht="39" hidden="false" customHeight="true" outlineLevel="0" collapsed="false">
      <c r="A31" s="150" t="s">
        <v>222</v>
      </c>
      <c r="B31" s="68" t="s">
        <v>931</v>
      </c>
      <c r="C31" s="62" t="s">
        <v>932</v>
      </c>
    </row>
    <row r="32" customFormat="false" ht="26.25" hidden="false" customHeight="true" outlineLevel="0" collapsed="false">
      <c r="A32" s="150" t="s">
        <v>262</v>
      </c>
      <c r="B32" s="68" t="s">
        <v>184</v>
      </c>
      <c r="C32" s="62" t="s">
        <v>933</v>
      </c>
    </row>
    <row r="33" customFormat="false" ht="14.25" hidden="false" customHeight="false" outlineLevel="0" collapsed="false">
      <c r="A33" s="150" t="s">
        <v>462</v>
      </c>
      <c r="B33" s="68" t="s">
        <v>934</v>
      </c>
      <c r="C33" s="62" t="s">
        <v>935</v>
      </c>
    </row>
    <row r="34" customFormat="false" ht="14.25" hidden="false" customHeight="false" outlineLevel="0" collapsed="false">
      <c r="A34" s="150" t="s">
        <v>455</v>
      </c>
      <c r="B34" s="68" t="s">
        <v>936</v>
      </c>
      <c r="C34" s="62" t="s">
        <v>937</v>
      </c>
    </row>
    <row r="35" customFormat="false" ht="26.25" hidden="false" customHeight="true" outlineLevel="0" collapsed="false">
      <c r="A35" s="150" t="s">
        <v>495</v>
      </c>
      <c r="B35" s="68" t="s">
        <v>492</v>
      </c>
      <c r="C35" s="62" t="s">
        <v>938</v>
      </c>
    </row>
    <row r="36" customFormat="false" ht="26.25" hidden="false" customHeight="true" outlineLevel="0" collapsed="false">
      <c r="A36" s="150" t="s">
        <v>500</v>
      </c>
      <c r="B36" s="68" t="s">
        <v>492</v>
      </c>
      <c r="C36" s="62" t="s">
        <v>939</v>
      </c>
    </row>
    <row r="37" customFormat="false" ht="14.25" hidden="false" customHeight="false" outlineLevel="0" collapsed="false">
      <c r="A37" s="150" t="s">
        <v>503</v>
      </c>
      <c r="B37" s="68" t="s">
        <v>504</v>
      </c>
      <c r="C37" s="62" t="s">
        <v>940</v>
      </c>
    </row>
    <row r="38" customFormat="false" ht="14.25" hidden="false" customHeight="false" outlineLevel="0" collapsed="false">
      <c r="A38" s="150" t="s">
        <v>521</v>
      </c>
      <c r="B38" s="68" t="s">
        <v>941</v>
      </c>
      <c r="C38" s="62" t="s">
        <v>942</v>
      </c>
    </row>
    <row r="39" customFormat="false" ht="14.25" hidden="false" customHeight="false" outlineLevel="0" collapsed="false">
      <c r="A39" s="150" t="s">
        <v>518</v>
      </c>
      <c r="B39" s="68" t="s">
        <v>391</v>
      </c>
      <c r="C39" s="62" t="s">
        <v>943</v>
      </c>
    </row>
    <row r="40" customFormat="false" ht="14.25" hidden="false" customHeight="false" outlineLevel="0" collapsed="false">
      <c r="A40" s="150" t="s">
        <v>482</v>
      </c>
      <c r="B40" s="68" t="s">
        <v>483</v>
      </c>
      <c r="C40" s="62" t="s">
        <v>944</v>
      </c>
    </row>
    <row r="41" customFormat="false" ht="14.25" hidden="false" customHeight="false" outlineLevel="0" collapsed="false">
      <c r="A41" s="150" t="s">
        <v>418</v>
      </c>
      <c r="B41" s="68" t="s">
        <v>382</v>
      </c>
      <c r="C41" s="62" t="s">
        <v>945</v>
      </c>
    </row>
    <row r="42" customFormat="false" ht="14.25" hidden="false" customHeight="false" outlineLevel="0" collapsed="false">
      <c r="A42" s="150" t="s">
        <v>345</v>
      </c>
      <c r="B42" s="68" t="s">
        <v>215</v>
      </c>
      <c r="C42" s="62" t="s">
        <v>946</v>
      </c>
    </row>
    <row r="43" customFormat="false" ht="26.25" hidden="false" customHeight="true" outlineLevel="0" collapsed="false">
      <c r="A43" s="150" t="s">
        <v>347</v>
      </c>
      <c r="B43" s="68" t="s">
        <v>215</v>
      </c>
      <c r="C43" s="62" t="s">
        <v>947</v>
      </c>
    </row>
    <row r="44" customFormat="false" ht="14.25" hidden="false" customHeight="false" outlineLevel="0" collapsed="false">
      <c r="A44" s="150" t="s">
        <v>394</v>
      </c>
      <c r="B44" s="68" t="s">
        <v>369</v>
      </c>
      <c r="C44" s="62" t="s">
        <v>948</v>
      </c>
    </row>
    <row r="45" customFormat="false" ht="14.25" hidden="false" customHeight="false" outlineLevel="0" collapsed="false">
      <c r="A45" s="150" t="s">
        <v>949</v>
      </c>
      <c r="B45" s="68" t="s">
        <v>299</v>
      </c>
      <c r="C45" s="62" t="s">
        <v>950</v>
      </c>
    </row>
    <row r="46" customFormat="false" ht="14.25" hidden="false" customHeight="false" outlineLevel="0" collapsed="false">
      <c r="A46" s="150" t="s">
        <v>326</v>
      </c>
      <c r="B46" s="68" t="s">
        <v>184</v>
      </c>
      <c r="C46" s="62" t="s">
        <v>951</v>
      </c>
    </row>
    <row r="47" customFormat="false" ht="14.25" hidden="false" customHeight="false" outlineLevel="0" collapsed="false">
      <c r="A47" s="150" t="s">
        <v>410</v>
      </c>
      <c r="B47" s="68" t="s">
        <v>164</v>
      </c>
      <c r="C47" s="62" t="s">
        <v>952</v>
      </c>
    </row>
    <row r="48" customFormat="false" ht="14.25" hidden="false" customHeight="false" outlineLevel="0" collapsed="false">
      <c r="A48" s="150" t="s">
        <v>209</v>
      </c>
      <c r="B48" s="68" t="s">
        <v>184</v>
      </c>
      <c r="C48" s="62" t="s">
        <v>953</v>
      </c>
    </row>
    <row r="49" customFormat="false" ht="14.25" hidden="false" customHeight="false" outlineLevel="0" collapsed="false">
      <c r="A49" s="150" t="s">
        <v>428</v>
      </c>
      <c r="B49" s="68" t="s">
        <v>954</v>
      </c>
      <c r="C49" s="62" t="s">
        <v>955</v>
      </c>
    </row>
    <row r="50" customFormat="false" ht="14.25" hidden="false" customHeight="false" outlineLevel="0" collapsed="false">
      <c r="A50" s="150" t="s">
        <v>421</v>
      </c>
      <c r="B50" s="68" t="s">
        <v>369</v>
      </c>
      <c r="C50" s="62" t="s">
        <v>956</v>
      </c>
    </row>
    <row r="52" customFormat="false" ht="14.25" hidden="false" customHeight="false" outlineLevel="0" collapsed="false">
      <c r="A52" s="152" t="s">
        <v>957</v>
      </c>
      <c r="B52" s="152"/>
      <c r="C52" s="152"/>
    </row>
    <row r="53" customFormat="false" ht="14.25" hidden="false" customHeight="false" outlineLevel="0" collapsed="false">
      <c r="A53" s="149" t="s">
        <v>902</v>
      </c>
      <c r="B53" s="149" t="s">
        <v>49</v>
      </c>
      <c r="C53" s="149" t="s">
        <v>903</v>
      </c>
    </row>
    <row r="54" customFormat="false" ht="26.25" hidden="false" customHeight="true" outlineLevel="0" collapsed="false">
      <c r="A54" s="150" t="s">
        <v>353</v>
      </c>
      <c r="B54" s="68" t="s">
        <v>354</v>
      </c>
      <c r="C54" s="62" t="s">
        <v>958</v>
      </c>
    </row>
    <row r="55" customFormat="false" ht="14.25" hidden="false" customHeight="false" outlineLevel="0" collapsed="false">
      <c r="A55" s="150" t="s">
        <v>362</v>
      </c>
      <c r="B55" s="68" t="s">
        <v>184</v>
      </c>
      <c r="C55" s="62" t="s">
        <v>959</v>
      </c>
    </row>
    <row r="56" customFormat="false" ht="26.25" hidden="false" customHeight="true" outlineLevel="0" collapsed="false">
      <c r="A56" s="150" t="s">
        <v>357</v>
      </c>
      <c r="B56" s="68" t="s">
        <v>960</v>
      </c>
      <c r="C56" s="62" t="s">
        <v>961</v>
      </c>
    </row>
    <row r="57" customFormat="false" ht="14.25" hidden="false" customHeight="false" outlineLevel="0" collapsed="false">
      <c r="A57" s="150" t="s">
        <v>245</v>
      </c>
      <c r="B57" s="68" t="s">
        <v>184</v>
      </c>
      <c r="C57" s="62" t="s">
        <v>962</v>
      </c>
    </row>
    <row r="58" customFormat="false" ht="14.25" hidden="false" customHeight="false" outlineLevel="0" collapsed="false">
      <c r="A58" s="150" t="s">
        <v>963</v>
      </c>
      <c r="B58" s="68" t="s">
        <v>184</v>
      </c>
      <c r="C58" s="62" t="s">
        <v>964</v>
      </c>
    </row>
    <row r="59" customFormat="false" ht="14.25" hidden="false" customHeight="false" outlineLevel="0" collapsed="false">
      <c r="A59" s="150" t="s">
        <v>414</v>
      </c>
      <c r="B59" s="68" t="s">
        <v>164</v>
      </c>
      <c r="C59" s="62" t="s">
        <v>965</v>
      </c>
    </row>
    <row r="60" customFormat="false" ht="14.25" hidden="false" customHeight="false" outlineLevel="0" collapsed="false">
      <c r="A60" s="150" t="s">
        <v>515</v>
      </c>
      <c r="B60" s="68" t="s">
        <v>391</v>
      </c>
      <c r="C60" s="62" t="s">
        <v>966</v>
      </c>
    </row>
    <row r="61" customFormat="false" ht="26.25" hidden="false" customHeight="true" outlineLevel="0" collapsed="false">
      <c r="A61" s="150" t="s">
        <v>480</v>
      </c>
      <c r="B61" s="68" t="s">
        <v>369</v>
      </c>
      <c r="C61" s="62" t="s">
        <v>967</v>
      </c>
    </row>
    <row r="62" customFormat="false" ht="14.25" hidden="false" customHeight="false" outlineLevel="0" collapsed="false">
      <c r="A62" s="150" t="s">
        <v>424</v>
      </c>
      <c r="B62" s="68" t="s">
        <v>425</v>
      </c>
      <c r="C62" s="62" t="s">
        <v>968</v>
      </c>
    </row>
    <row r="63" customFormat="false" ht="14.25" hidden="false" customHeight="false" outlineLevel="0" collapsed="false">
      <c r="A63" s="150" t="s">
        <v>432</v>
      </c>
      <c r="B63" s="68" t="s">
        <v>146</v>
      </c>
      <c r="C63" s="62" t="s">
        <v>969</v>
      </c>
    </row>
    <row r="64" customFormat="false" ht="14.25" hidden="false" customHeight="false" outlineLevel="0" collapsed="false">
      <c r="A64" s="150" t="s">
        <v>435</v>
      </c>
      <c r="B64" s="68" t="s">
        <v>146</v>
      </c>
      <c r="C64" s="62" t="s">
        <v>970</v>
      </c>
    </row>
    <row r="65" customFormat="false" ht="14.25" hidden="false" customHeight="false" outlineLevel="0" collapsed="false">
      <c r="A65" s="150" t="s">
        <v>440</v>
      </c>
      <c r="B65" s="68" t="s">
        <v>954</v>
      </c>
      <c r="C65" s="62" t="s">
        <v>971</v>
      </c>
    </row>
    <row r="66" customFormat="false" ht="14.25" hidden="false" customHeight="false" outlineLevel="0" collapsed="false">
      <c r="A66" s="150" t="s">
        <v>438</v>
      </c>
      <c r="B66" s="68" t="s">
        <v>146</v>
      </c>
      <c r="C66" s="62" t="s">
        <v>437</v>
      </c>
    </row>
    <row r="67" customFormat="false" ht="14.25" hidden="false" customHeight="false" outlineLevel="0" collapsed="false">
      <c r="A67" s="150" t="s">
        <v>443</v>
      </c>
      <c r="B67" s="68" t="s">
        <v>954</v>
      </c>
      <c r="C67" s="62" t="s">
        <v>442</v>
      </c>
    </row>
    <row r="68" customFormat="false" ht="14.25" hidden="false" customHeight="false" outlineLevel="0" collapsed="false">
      <c r="A68" s="150" t="s">
        <v>445</v>
      </c>
      <c r="B68" s="68" t="s">
        <v>954</v>
      </c>
      <c r="C68" s="62" t="s">
        <v>972</v>
      </c>
    </row>
    <row r="69" customFormat="false" ht="26.25" hidden="false" customHeight="true" outlineLevel="0" collapsed="false">
      <c r="A69" s="150" t="s">
        <v>973</v>
      </c>
      <c r="B69" s="68" t="s">
        <v>124</v>
      </c>
      <c r="C69" s="62" t="s">
        <v>974</v>
      </c>
    </row>
    <row r="71" customFormat="false" ht="14.25" hidden="false" customHeight="false" outlineLevel="0" collapsed="false">
      <c r="A71" s="153" t="s">
        <v>975</v>
      </c>
      <c r="B71" s="153"/>
      <c r="C71" s="153"/>
    </row>
  </sheetData>
  <mergeCells count="4">
    <mergeCell ref="A4:C4"/>
    <mergeCell ref="A28:C28"/>
    <mergeCell ref="A52:C52"/>
    <mergeCell ref="A71:C7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640625" defaultRowHeight="14.2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4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5" min="5" style="0" width="13"/>
    <col collapsed="false" customWidth="true" hidden="false" outlineLevel="0" max="6" min="6" style="0" width="24"/>
    <col collapsed="false" customWidth="true" hidden="false" outlineLevel="0" max="7" min="7" style="0" width="70"/>
  </cols>
  <sheetData>
    <row r="1" customFormat="false" ht="15.75" hidden="false" customHeight="true" outlineLevel="0" collapsed="false">
      <c r="A1" s="154" t="s">
        <v>976</v>
      </c>
    </row>
    <row r="2" customFormat="false" ht="15" hidden="false" customHeight="true" outlineLevel="0" collapsed="false">
      <c r="A2" s="54" t="s">
        <v>977</v>
      </c>
    </row>
    <row r="4" customFormat="false" ht="15" hidden="false" customHeight="true" outlineLevel="0" collapsed="false">
      <c r="A4" s="58" t="s">
        <v>108</v>
      </c>
      <c r="B4" s="58" t="s">
        <v>978</v>
      </c>
      <c r="C4" s="58" t="s">
        <v>116</v>
      </c>
      <c r="D4" s="58" t="s">
        <v>979</v>
      </c>
      <c r="E4" s="58" t="s">
        <v>117</v>
      </c>
      <c r="F4" s="58" t="s">
        <v>980</v>
      </c>
      <c r="G4" s="58" t="s">
        <v>981</v>
      </c>
    </row>
    <row r="5" customFormat="false" ht="15" hidden="false" customHeight="true" outlineLevel="0" collapsed="false">
      <c r="A5" s="61" t="s">
        <v>982</v>
      </c>
      <c r="B5" s="62" t="s">
        <v>983</v>
      </c>
      <c r="C5" s="69" t="n">
        <v>30297</v>
      </c>
      <c r="D5" s="69"/>
      <c r="E5" s="69" t="n">
        <v>0</v>
      </c>
      <c r="F5" s="62" t="s">
        <v>984</v>
      </c>
      <c r="G5" s="62" t="s">
        <v>985</v>
      </c>
    </row>
    <row r="6" customFormat="false" ht="15" hidden="false" customHeight="true" outlineLevel="0" collapsed="false">
      <c r="A6" s="71" t="s">
        <v>986</v>
      </c>
      <c r="B6" s="72" t="s">
        <v>987</v>
      </c>
      <c r="C6" s="75" t="n">
        <v>19825.36</v>
      </c>
      <c r="D6" s="75" t="n">
        <v>300</v>
      </c>
      <c r="E6" s="75" t="n">
        <v>0</v>
      </c>
      <c r="F6" s="72" t="s">
        <v>984</v>
      </c>
      <c r="G6" s="72" t="s">
        <v>988</v>
      </c>
    </row>
    <row r="7" customFormat="false" ht="23.25" hidden="false" customHeight="true" outlineLevel="0" collapsed="false">
      <c r="A7" s="61" t="s">
        <v>989</v>
      </c>
      <c r="B7" s="62" t="s">
        <v>990</v>
      </c>
      <c r="C7" s="69" t="n">
        <v>14000</v>
      </c>
      <c r="D7" s="69" t="n">
        <v>0</v>
      </c>
      <c r="E7" s="69" t="n">
        <v>7000</v>
      </c>
      <c r="F7" s="62" t="s">
        <v>984</v>
      </c>
      <c r="G7" s="62" t="s">
        <v>991</v>
      </c>
    </row>
    <row r="8" customFormat="false" ht="15" hidden="false" customHeight="true" outlineLevel="0" collapsed="false">
      <c r="A8" s="71" t="s">
        <v>161</v>
      </c>
      <c r="B8" s="72" t="s">
        <v>992</v>
      </c>
      <c r="C8" s="75"/>
      <c r="D8" s="75" t="n">
        <v>0</v>
      </c>
      <c r="E8" s="75" t="n">
        <v>1500</v>
      </c>
      <c r="F8" s="72" t="s">
        <v>984</v>
      </c>
      <c r="G8" s="72" t="s">
        <v>993</v>
      </c>
    </row>
    <row r="9" customFormat="false" ht="15" hidden="false" customHeight="true" outlineLevel="0" collapsed="false">
      <c r="A9" s="61" t="s">
        <v>994</v>
      </c>
      <c r="B9" s="62" t="s">
        <v>995</v>
      </c>
      <c r="C9" s="69"/>
      <c r="D9" s="69" t="n">
        <v>0</v>
      </c>
      <c r="E9" s="69" t="n">
        <v>3500</v>
      </c>
      <c r="F9" s="62" t="s">
        <v>996</v>
      </c>
      <c r="G9" s="62" t="s">
        <v>997</v>
      </c>
    </row>
    <row r="10" customFormat="false" ht="15" hidden="false" customHeight="true" outlineLevel="0" collapsed="false">
      <c r="A10" s="71" t="s">
        <v>998</v>
      </c>
      <c r="B10" s="72" t="s">
        <v>999</v>
      </c>
      <c r="C10" s="75" t="n">
        <v>3000</v>
      </c>
      <c r="D10" s="75" t="n">
        <v>0</v>
      </c>
      <c r="E10" s="75" t="n">
        <v>3000</v>
      </c>
      <c r="F10" s="72" t="s">
        <v>996</v>
      </c>
      <c r="G10" s="72" t="s">
        <v>1000</v>
      </c>
    </row>
    <row r="11" customFormat="false" ht="15" hidden="false" customHeight="true" outlineLevel="0" collapsed="false">
      <c r="A11" s="61" t="s">
        <v>289</v>
      </c>
      <c r="B11" s="62" t="s">
        <v>1001</v>
      </c>
      <c r="C11" s="69" t="n">
        <v>21750</v>
      </c>
      <c r="D11" s="69" t="n">
        <v>0</v>
      </c>
      <c r="E11" s="69" t="n">
        <v>4875</v>
      </c>
      <c r="F11" s="62" t="s">
        <v>996</v>
      </c>
      <c r="G11" s="62" t="s">
        <v>1002</v>
      </c>
    </row>
    <row r="12" customFormat="false" ht="23.25" hidden="false" customHeight="true" outlineLevel="0" collapsed="false">
      <c r="A12" s="71" t="s">
        <v>296</v>
      </c>
      <c r="B12" s="72" t="s">
        <v>1003</v>
      </c>
      <c r="C12" s="75" t="n">
        <v>5925</v>
      </c>
      <c r="D12" s="75" t="n">
        <v>0</v>
      </c>
      <c r="E12" s="75" t="n">
        <v>4500</v>
      </c>
      <c r="F12" s="72" t="s">
        <v>996</v>
      </c>
      <c r="G12" s="72" t="s">
        <v>1004</v>
      </c>
    </row>
    <row r="13" customFormat="false" ht="23.25" hidden="false" customHeight="true" outlineLevel="0" collapsed="false">
      <c r="A13" s="61" t="s">
        <v>1005</v>
      </c>
      <c r="B13" s="62" t="s">
        <v>1006</v>
      </c>
      <c r="C13" s="69" t="n">
        <v>9100</v>
      </c>
      <c r="D13" s="69" t="n">
        <v>0</v>
      </c>
      <c r="E13" s="69" t="n">
        <v>9100</v>
      </c>
      <c r="F13" s="62" t="s">
        <v>996</v>
      </c>
      <c r="G13" s="62" t="s">
        <v>1007</v>
      </c>
    </row>
    <row r="14" customFormat="false" ht="15" hidden="false" customHeight="true" outlineLevel="0" collapsed="false">
      <c r="A14" s="71" t="s">
        <v>1008</v>
      </c>
      <c r="B14" s="72" t="s">
        <v>1009</v>
      </c>
      <c r="C14" s="75"/>
      <c r="D14" s="75" t="n">
        <v>0</v>
      </c>
      <c r="E14" s="75" t="n">
        <v>500</v>
      </c>
      <c r="F14" s="72" t="s">
        <v>996</v>
      </c>
      <c r="G14" s="72" t="s">
        <v>1010</v>
      </c>
    </row>
    <row r="15" customFormat="false" ht="15" hidden="false" customHeight="true" outlineLevel="0" collapsed="false">
      <c r="A15" s="61" t="s">
        <v>1008</v>
      </c>
      <c r="B15" s="62" t="s">
        <v>1011</v>
      </c>
      <c r="C15" s="69"/>
      <c r="D15" s="69" t="n">
        <v>0</v>
      </c>
      <c r="E15" s="69" t="n">
        <v>2500</v>
      </c>
      <c r="F15" s="62" t="s">
        <v>996</v>
      </c>
      <c r="G15" s="62" t="s">
        <v>954</v>
      </c>
    </row>
    <row r="16" customFormat="false" ht="15" hidden="false" customHeight="true" outlineLevel="0" collapsed="false">
      <c r="A16" s="71" t="s">
        <v>1008</v>
      </c>
      <c r="B16" s="72" t="s">
        <v>1012</v>
      </c>
      <c r="C16" s="75"/>
      <c r="D16" s="75" t="n">
        <v>0</v>
      </c>
      <c r="E16" s="75"/>
      <c r="F16" s="72" t="s">
        <v>1013</v>
      </c>
      <c r="G16" s="72" t="s">
        <v>1014</v>
      </c>
    </row>
    <row r="17" customFormat="false" ht="15" hidden="false" customHeight="true" outlineLevel="0" collapsed="false">
      <c r="A17" s="61" t="s">
        <v>1008</v>
      </c>
      <c r="B17" s="62" t="s">
        <v>1015</v>
      </c>
      <c r="C17" s="69"/>
      <c r="D17" s="69" t="n">
        <v>0</v>
      </c>
      <c r="E17" s="69"/>
      <c r="F17" s="62" t="s">
        <v>996</v>
      </c>
      <c r="G17" s="62" t="s">
        <v>954</v>
      </c>
    </row>
    <row r="18" customFormat="false" ht="15" hidden="false" customHeight="true" outlineLevel="0" collapsed="false">
      <c r="A18" s="71" t="s">
        <v>1008</v>
      </c>
      <c r="B18" s="72" t="s">
        <v>1016</v>
      </c>
      <c r="C18" s="75"/>
      <c r="D18" s="75" t="n">
        <v>0</v>
      </c>
      <c r="E18" s="75"/>
      <c r="F18" s="72" t="s">
        <v>996</v>
      </c>
      <c r="G18" s="72" t="s">
        <v>954</v>
      </c>
    </row>
    <row r="19" customFormat="false" ht="23.25" hidden="false" customHeight="true" outlineLevel="0" collapsed="false">
      <c r="A19" s="61" t="s">
        <v>1017</v>
      </c>
      <c r="B19" s="62" t="s">
        <v>1018</v>
      </c>
      <c r="C19" s="69" t="n">
        <v>10000</v>
      </c>
      <c r="D19" s="69" t="n">
        <v>0</v>
      </c>
      <c r="E19" s="69" t="n">
        <v>10000</v>
      </c>
      <c r="F19" s="62" t="s">
        <v>1019</v>
      </c>
      <c r="G19" s="62" t="s">
        <v>1020</v>
      </c>
    </row>
    <row r="20" customFormat="false" ht="15" hidden="false" customHeight="true" outlineLevel="0" collapsed="false">
      <c r="A20" s="71" t="s">
        <v>1021</v>
      </c>
      <c r="B20" s="72" t="s">
        <v>1022</v>
      </c>
      <c r="C20" s="75" t="n">
        <v>3000</v>
      </c>
      <c r="D20" s="75" t="n">
        <v>0</v>
      </c>
      <c r="E20" s="75" t="n">
        <v>3000</v>
      </c>
      <c r="F20" s="72" t="s">
        <v>1019</v>
      </c>
      <c r="G20" s="72" t="s">
        <v>1023</v>
      </c>
    </row>
    <row r="21" customFormat="false" ht="23.25" hidden="false" customHeight="true" outlineLevel="0" collapsed="false">
      <c r="A21" s="61" t="s">
        <v>1024</v>
      </c>
      <c r="B21" s="62" t="s">
        <v>1025</v>
      </c>
      <c r="C21" s="69" t="n">
        <v>2000</v>
      </c>
      <c r="D21" s="69" t="n">
        <v>0</v>
      </c>
      <c r="E21" s="69" t="n">
        <v>1500</v>
      </c>
      <c r="F21" s="62" t="s">
        <v>954</v>
      </c>
      <c r="G21" s="62" t="s">
        <v>1026</v>
      </c>
    </row>
    <row r="22" customFormat="false" ht="23.25" hidden="false" customHeight="true" outlineLevel="0" collapsed="false">
      <c r="A22" s="71" t="s">
        <v>1027</v>
      </c>
      <c r="B22" s="72" t="s">
        <v>1028</v>
      </c>
      <c r="C22" s="75"/>
      <c r="D22" s="75" t="n">
        <v>0</v>
      </c>
      <c r="E22" s="75"/>
      <c r="F22" s="72" t="s">
        <v>996</v>
      </c>
      <c r="G22" s="72" t="s">
        <v>1029</v>
      </c>
    </row>
    <row r="23" customFormat="false" ht="23.25" hidden="false" customHeight="true" outlineLevel="0" collapsed="false">
      <c r="A23" s="61" t="s">
        <v>1030</v>
      </c>
      <c r="B23" s="62" t="s">
        <v>1031</v>
      </c>
      <c r="C23" s="69" t="n">
        <v>2100</v>
      </c>
      <c r="D23" s="69" t="n">
        <v>0</v>
      </c>
      <c r="E23" s="69" t="n">
        <v>2000</v>
      </c>
      <c r="F23" s="62" t="s">
        <v>1032</v>
      </c>
      <c r="G23" s="62" t="s">
        <v>1033</v>
      </c>
    </row>
    <row r="24" customFormat="false" ht="23.25" hidden="false" customHeight="true" outlineLevel="0" collapsed="false">
      <c r="A24" s="71" t="s">
        <v>1034</v>
      </c>
      <c r="B24" s="72" t="s">
        <v>1035</v>
      </c>
      <c r="C24" s="75" t="n">
        <v>7500</v>
      </c>
      <c r="D24" s="75" t="n">
        <v>0</v>
      </c>
      <c r="E24" s="75" t="n">
        <v>4500</v>
      </c>
      <c r="F24" s="72" t="s">
        <v>1019</v>
      </c>
      <c r="G24" s="72" t="s">
        <v>1036</v>
      </c>
    </row>
    <row r="25" customFormat="false" ht="15" hidden="false" customHeight="true" outlineLevel="0" collapsed="false">
      <c r="A25" s="108"/>
      <c r="B25" s="109" t="s">
        <v>1037</v>
      </c>
      <c r="C25" s="108"/>
      <c r="D25" s="108"/>
      <c r="E25" s="155" t="n">
        <f aca="false">SUM(E5:E24)</f>
        <v>57475</v>
      </c>
      <c r="F25" s="108"/>
      <c r="G25" s="108"/>
    </row>
    <row r="26" customFormat="false" ht="15" hidden="false" customHeight="true" outlineLevel="0" collapsed="false">
      <c r="B26" s="56" t="s">
        <v>1038</v>
      </c>
    </row>
    <row r="28" customFormat="false" ht="15" hidden="false" customHeight="true" outlineLevel="0" collapsed="false">
      <c r="A28" s="156" t="s">
        <v>1039</v>
      </c>
    </row>
    <row r="29" customFormat="false" ht="15" hidden="false" customHeight="true" outlineLevel="0" collapsed="false">
      <c r="A29" s="157"/>
      <c r="B29" s="157" t="s">
        <v>1040</v>
      </c>
      <c r="C29" s="157" t="s">
        <v>1041</v>
      </c>
      <c r="D29" s="157" t="s">
        <v>1042</v>
      </c>
    </row>
    <row r="30" customFormat="false" ht="15" hidden="false" customHeight="true" outlineLevel="0" collapsed="false">
      <c r="A30" s="61" t="s">
        <v>1043</v>
      </c>
      <c r="B30" s="158" t="n">
        <v>107414.33</v>
      </c>
      <c r="C30" s="158" t="n">
        <v>24481.58</v>
      </c>
      <c r="D30" s="159" t="n">
        <f aca="false">B30+C30</f>
        <v>131895.91</v>
      </c>
    </row>
    <row r="31" customFormat="false" ht="15" hidden="false" customHeight="true" outlineLevel="0" collapsed="false">
      <c r="A31" s="61" t="s">
        <v>1044</v>
      </c>
      <c r="B31" s="158" t="n">
        <v>22180.93</v>
      </c>
      <c r="C31" s="158" t="n">
        <v>12294.9</v>
      </c>
      <c r="D31" s="159" t="n">
        <f aca="false">B31+C31</f>
        <v>34475.83</v>
      </c>
    </row>
    <row r="32" customFormat="false" ht="15" hidden="false" customHeight="true" outlineLevel="0" collapsed="false">
      <c r="A32" s="157" t="s">
        <v>1045</v>
      </c>
      <c r="B32" s="160" t="n">
        <f aca="false">SUM(B30:B31)</f>
        <v>129595.26</v>
      </c>
      <c r="C32" s="160" t="n">
        <f aca="false">SUM(C30:C31)</f>
        <v>36776.48</v>
      </c>
      <c r="D32" s="160" t="n">
        <f aca="false">B32+C32</f>
        <v>166371.74</v>
      </c>
    </row>
    <row r="33" customFormat="false" ht="15" hidden="false" customHeight="true" outlineLevel="0" collapsed="false">
      <c r="A33" s="54" t="s">
        <v>1046</v>
      </c>
      <c r="D33" s="161" t="n">
        <f aca="false">D32</f>
        <v>166371.74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40625" defaultRowHeight="14.2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8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8" min="7" style="0" width="13"/>
  </cols>
  <sheetData>
    <row r="1" customFormat="false" ht="15.75" hidden="false" customHeight="true" outlineLevel="0" collapsed="false">
      <c r="A1" s="154" t="s">
        <v>1047</v>
      </c>
    </row>
    <row r="2" customFormat="false" ht="15" hidden="false" customHeight="true" outlineLevel="0" collapsed="false">
      <c r="A2" s="54" t="s">
        <v>1048</v>
      </c>
    </row>
    <row r="4" customFormat="false" ht="15" hidden="false" customHeight="true" outlineLevel="0" collapsed="false">
      <c r="A4" s="162" t="s">
        <v>108</v>
      </c>
      <c r="B4" s="162" t="s">
        <v>1049</v>
      </c>
      <c r="C4" s="162" t="s">
        <v>123</v>
      </c>
      <c r="D4" s="162" t="s">
        <v>174</v>
      </c>
      <c r="E4" s="162" t="s">
        <v>132</v>
      </c>
      <c r="F4" s="162" t="s">
        <v>218</v>
      </c>
      <c r="G4" s="162" t="s">
        <v>116</v>
      </c>
      <c r="H4" s="162" t="s">
        <v>117</v>
      </c>
    </row>
    <row r="5" customFormat="false" ht="15" hidden="false" customHeight="true" outlineLevel="0" collapsed="false">
      <c r="A5" s="61" t="s">
        <v>18</v>
      </c>
      <c r="B5" s="60" t="n">
        <f aca="false">COUNTIF('Scope Checklist'!$B$6:$B$149,A5)</f>
        <v>25</v>
      </c>
      <c r="C5" s="60" t="n">
        <f aca="false">COUNTIFS('Scope Checklist'!$B$6:$B$149,A5,'Scope Checklist'!$E$6:$E$149,"Pending")</f>
        <v>22</v>
      </c>
      <c r="D5" s="60" t="n">
        <f aca="false">COUNTIFS('Scope Checklist'!$B$6:$B$149,A5,'Scope Checklist'!$E$6:$E$149,"In Progress")</f>
        <v>2</v>
      </c>
      <c r="E5" s="60" t="n">
        <f aca="false">COUNTIFS('Scope Checklist'!$B$6:$B$149,A5,'Scope Checklist'!$E$6:$E$149,"Complete")</f>
        <v>1</v>
      </c>
      <c r="F5" s="60" t="n">
        <f aca="false">COUNTIFS('Scope Checklist'!$B$6:$B$149,A5,'Scope Checklist'!$E$6:$E$149,"Not Needed")</f>
        <v>0</v>
      </c>
      <c r="G5" s="69" t="n">
        <f aca="false">SUMIF('Scope Checklist'!$B$6:$B$149,A5,'Scope Checklist'!$L$6:$L$149)</f>
        <v>0</v>
      </c>
      <c r="H5" s="69" t="n">
        <f aca="false">SUMIF('Scope Checklist'!$B$6:$B$149,A5,'Scope Checklist'!$M$6:$M$149)</f>
        <v>0</v>
      </c>
    </row>
    <row r="6" customFormat="false" ht="15" hidden="false" customHeight="true" outlineLevel="0" collapsed="false">
      <c r="A6" s="61" t="s">
        <v>28</v>
      </c>
      <c r="B6" s="60" t="n">
        <f aca="false">COUNTIF('Scope Checklist'!$B$6:$B$149,A6)</f>
        <v>0</v>
      </c>
      <c r="C6" s="60" t="n">
        <f aca="false">COUNTIFS('Scope Checklist'!$B$6:$B$149,A6,'Scope Checklist'!$E$6:$E$149,"Pending")</f>
        <v>0</v>
      </c>
      <c r="D6" s="60" t="n">
        <f aca="false">COUNTIFS('Scope Checklist'!$B$6:$B$149,A6,'Scope Checklist'!$E$6:$E$149,"In Progress")</f>
        <v>0</v>
      </c>
      <c r="E6" s="60" t="n">
        <f aca="false">COUNTIFS('Scope Checklist'!$B$6:$B$149,A6,'Scope Checklist'!$E$6:$E$149,"Complete")</f>
        <v>0</v>
      </c>
      <c r="F6" s="60" t="n">
        <f aca="false">COUNTIFS('Scope Checklist'!$B$6:$B$149,A6,'Scope Checklist'!$E$6:$E$149,"Not Needed")</f>
        <v>0</v>
      </c>
      <c r="G6" s="69" t="n">
        <f aca="false">SUMIF('Scope Checklist'!$B$6:$B$149,A6,'Scope Checklist'!$L$6:$L$149)</f>
        <v>0</v>
      </c>
      <c r="H6" s="69" t="n">
        <f aca="false">SUMIF('Scope Checklist'!$B$6:$B$149,A6,'Scope Checklist'!$M$6:$M$149)</f>
        <v>0</v>
      </c>
    </row>
    <row r="7" customFormat="false" ht="15" hidden="false" customHeight="true" outlineLevel="0" collapsed="false">
      <c r="A7" s="61" t="s">
        <v>19</v>
      </c>
      <c r="B7" s="60" t="n">
        <f aca="false">COUNTIF('Scope Checklist'!$B$6:$B$149,A7)</f>
        <v>13</v>
      </c>
      <c r="C7" s="60" t="n">
        <f aca="false">COUNTIFS('Scope Checklist'!$B$6:$B$149,A7,'Scope Checklist'!$E$6:$E$149,"Pending")</f>
        <v>10</v>
      </c>
      <c r="D7" s="60" t="n">
        <f aca="false">COUNTIFS('Scope Checklist'!$B$6:$B$149,A7,'Scope Checklist'!$E$6:$E$149,"In Progress")</f>
        <v>0</v>
      </c>
      <c r="E7" s="60" t="n">
        <f aca="false">COUNTIFS('Scope Checklist'!$B$6:$B$149,A7,'Scope Checklist'!$E$6:$E$149,"Complete")</f>
        <v>2</v>
      </c>
      <c r="F7" s="60" t="n">
        <f aca="false">COUNTIFS('Scope Checklist'!$B$6:$B$149,A7,'Scope Checklist'!$E$6:$E$149,"Not Needed")</f>
        <v>1</v>
      </c>
      <c r="G7" s="69" t="n">
        <f aca="false">SUMIF('Scope Checklist'!$B$6:$B$149,A7,'Scope Checklist'!$L$6:$L$149)</f>
        <v>0</v>
      </c>
      <c r="H7" s="69" t="n">
        <f aca="false">SUMIF('Scope Checklist'!$B$6:$B$149,A7,'Scope Checklist'!$M$6:$M$149)</f>
        <v>0</v>
      </c>
    </row>
    <row r="8" customFormat="false" ht="15" hidden="false" customHeight="true" outlineLevel="0" collapsed="false">
      <c r="A8" s="61" t="s">
        <v>20</v>
      </c>
      <c r="B8" s="60" t="n">
        <f aca="false">COUNTIF('Scope Checklist'!$B$6:$B$149,A8)</f>
        <v>11</v>
      </c>
      <c r="C8" s="60" t="n">
        <f aca="false">COUNTIFS('Scope Checklist'!$B$6:$B$149,A8,'Scope Checklist'!$E$6:$E$149,"Pending")</f>
        <v>8</v>
      </c>
      <c r="D8" s="60" t="n">
        <f aca="false">COUNTIFS('Scope Checklist'!$B$6:$B$149,A8,'Scope Checklist'!$E$6:$E$149,"In Progress")</f>
        <v>3</v>
      </c>
      <c r="E8" s="60" t="n">
        <f aca="false">COUNTIFS('Scope Checklist'!$B$6:$B$149,A8,'Scope Checklist'!$E$6:$E$149,"Complete")</f>
        <v>0</v>
      </c>
      <c r="F8" s="60" t="n">
        <f aca="false">COUNTIFS('Scope Checklist'!$B$6:$B$149,A8,'Scope Checklist'!$E$6:$E$149,"Not Needed")</f>
        <v>0</v>
      </c>
      <c r="G8" s="69" t="n">
        <f aca="false">SUMIF('Scope Checklist'!$B$6:$B$149,A8,'Scope Checklist'!$L$6:$L$149)</f>
        <v>14000</v>
      </c>
      <c r="H8" s="69" t="n">
        <f aca="false">SUMIF('Scope Checklist'!$B$6:$B$149,A8,'Scope Checklist'!$M$6:$M$149)</f>
        <v>7000</v>
      </c>
    </row>
    <row r="9" customFormat="false" ht="15" hidden="false" customHeight="true" outlineLevel="0" collapsed="false">
      <c r="A9" s="61" t="s">
        <v>21</v>
      </c>
      <c r="B9" s="60" t="n">
        <f aca="false">COUNTIF('Scope Checklist'!$B$6:$B$149,A9)</f>
        <v>7</v>
      </c>
      <c r="C9" s="60" t="n">
        <f aca="false">COUNTIFS('Scope Checklist'!$B$6:$B$149,A9,'Scope Checklist'!$E$6:$E$149,"Pending")</f>
        <v>5</v>
      </c>
      <c r="D9" s="60" t="n">
        <f aca="false">COUNTIFS('Scope Checklist'!$B$6:$B$149,A9,'Scope Checklist'!$E$6:$E$149,"In Progress")</f>
        <v>0</v>
      </c>
      <c r="E9" s="60" t="n">
        <f aca="false">COUNTIFS('Scope Checklist'!$B$6:$B$149,A9,'Scope Checklist'!$E$6:$E$149,"Complete")</f>
        <v>1</v>
      </c>
      <c r="F9" s="60" t="n">
        <f aca="false">COUNTIFS('Scope Checklist'!$B$6:$B$149,A9,'Scope Checklist'!$E$6:$E$149,"Not Needed")</f>
        <v>1</v>
      </c>
      <c r="G9" s="69" t="n">
        <f aca="false">SUMIF('Scope Checklist'!$B$6:$B$149,A9,'Scope Checklist'!$L$6:$L$149)</f>
        <v>0</v>
      </c>
      <c r="H9" s="69" t="n">
        <f aca="false">SUMIF('Scope Checklist'!$B$6:$B$149,A9,'Scope Checklist'!$M$6:$M$149)</f>
        <v>1500</v>
      </c>
    </row>
    <row r="10" customFormat="false" ht="15" hidden="false" customHeight="true" outlineLevel="0" collapsed="false">
      <c r="A10" s="61" t="s">
        <v>22</v>
      </c>
      <c r="B10" s="60" t="n">
        <f aca="false">COUNTIF('Scope Checklist'!$B$6:$B$149,A10)</f>
        <v>8</v>
      </c>
      <c r="C10" s="60" t="n">
        <f aca="false">COUNTIFS('Scope Checklist'!$B$6:$B$149,A10,'Scope Checklist'!$E$6:$E$149,"Pending")</f>
        <v>7</v>
      </c>
      <c r="D10" s="60" t="n">
        <f aca="false">COUNTIFS('Scope Checklist'!$B$6:$B$149,A10,'Scope Checklist'!$E$6:$E$149,"In Progress")</f>
        <v>0</v>
      </c>
      <c r="E10" s="60" t="n">
        <f aca="false">COUNTIFS('Scope Checklist'!$B$6:$B$149,A10,'Scope Checklist'!$E$6:$E$149,"Complete")</f>
        <v>0</v>
      </c>
      <c r="F10" s="60" t="n">
        <f aca="false">COUNTIFS('Scope Checklist'!$B$6:$B$149,A10,'Scope Checklist'!$E$6:$E$149,"Not Needed")</f>
        <v>1</v>
      </c>
      <c r="G10" s="69" t="n">
        <f aca="false">SUMIF('Scope Checklist'!$B$6:$B$149,A10,'Scope Checklist'!$L$6:$L$149)</f>
        <v>2100</v>
      </c>
      <c r="H10" s="69" t="n">
        <f aca="false">SUMIF('Scope Checklist'!$B$6:$B$149,A10,'Scope Checklist'!$M$6:$M$149)</f>
        <v>2000</v>
      </c>
    </row>
    <row r="11" customFormat="false" ht="15" hidden="false" customHeight="true" outlineLevel="0" collapsed="false">
      <c r="A11" s="61" t="s">
        <v>23</v>
      </c>
      <c r="B11" s="60" t="n">
        <f aca="false">COUNTIF('Scope Checklist'!$B$6:$B$149,A11)</f>
        <v>9</v>
      </c>
      <c r="C11" s="60" t="n">
        <f aca="false">COUNTIFS('Scope Checklist'!$B$6:$B$149,A11,'Scope Checklist'!$E$6:$E$149,"Pending")</f>
        <v>7</v>
      </c>
      <c r="D11" s="60" t="n">
        <f aca="false">COUNTIFS('Scope Checklist'!$B$6:$B$149,A11,'Scope Checklist'!$E$6:$E$149,"In Progress")</f>
        <v>1</v>
      </c>
      <c r="E11" s="60" t="n">
        <f aca="false">COUNTIFS('Scope Checklist'!$B$6:$B$149,A11,'Scope Checklist'!$E$6:$E$149,"Complete")</f>
        <v>0</v>
      </c>
      <c r="F11" s="60" t="n">
        <f aca="false">COUNTIFS('Scope Checklist'!$B$6:$B$149,A11,'Scope Checklist'!$E$6:$E$149,"Not Needed")</f>
        <v>1</v>
      </c>
      <c r="G11" s="69" t="n">
        <f aca="false">SUMIF('Scope Checklist'!$B$6:$B$149,A11,'Scope Checklist'!$L$6:$L$149)</f>
        <v>36775</v>
      </c>
      <c r="H11" s="69" t="n">
        <f aca="false">SUMIF('Scope Checklist'!$B$6:$B$149,A11,'Scope Checklist'!$M$6:$M$149)</f>
        <v>18475</v>
      </c>
    </row>
    <row r="12" customFormat="false" ht="15" hidden="false" customHeight="true" outlineLevel="0" collapsed="false">
      <c r="A12" s="61" t="s">
        <v>24</v>
      </c>
      <c r="B12" s="60" t="n">
        <f aca="false">COUNTIF('Scope Checklist'!$B$6:$B$149,A12)</f>
        <v>20</v>
      </c>
      <c r="C12" s="60" t="n">
        <f aca="false">COUNTIFS('Scope Checklist'!$B$6:$B$149,A12,'Scope Checklist'!$E$6:$E$149,"Pending")</f>
        <v>20</v>
      </c>
      <c r="D12" s="60" t="n">
        <f aca="false">COUNTIFS('Scope Checklist'!$B$6:$B$149,A12,'Scope Checklist'!$E$6:$E$149,"In Progress")</f>
        <v>0</v>
      </c>
      <c r="E12" s="60" t="n">
        <f aca="false">COUNTIFS('Scope Checklist'!$B$6:$B$149,A12,'Scope Checklist'!$E$6:$E$149,"Complete")</f>
        <v>0</v>
      </c>
      <c r="F12" s="60" t="n">
        <f aca="false">COUNTIFS('Scope Checklist'!$B$6:$B$149,A12,'Scope Checklist'!$E$6:$E$149,"Not Needed")</f>
        <v>0</v>
      </c>
      <c r="G12" s="69" t="n">
        <f aca="false">SUMIF('Scope Checklist'!$B$6:$B$149,A12,'Scope Checklist'!$L$6:$L$149)</f>
        <v>3000</v>
      </c>
      <c r="H12" s="69" t="n">
        <f aca="false">SUMIF('Scope Checklist'!$B$6:$B$149,A12,'Scope Checklist'!$M$6:$M$149)</f>
        <v>6500</v>
      </c>
    </row>
    <row r="13" customFormat="false" ht="15" hidden="false" customHeight="true" outlineLevel="0" collapsed="false">
      <c r="A13" s="61" t="s">
        <v>25</v>
      </c>
      <c r="B13" s="60" t="n">
        <f aca="false">COUNTIF('Scope Checklist'!$B$6:$B$149,A13)</f>
        <v>14</v>
      </c>
      <c r="C13" s="60" t="n">
        <f aca="false">COUNTIFS('Scope Checklist'!$B$6:$B$149,A13,'Scope Checklist'!$E$6:$E$149,"Pending")</f>
        <v>14</v>
      </c>
      <c r="D13" s="60" t="n">
        <f aca="false">COUNTIFS('Scope Checklist'!$B$6:$B$149,A13,'Scope Checklist'!$E$6:$E$149,"In Progress")</f>
        <v>0</v>
      </c>
      <c r="E13" s="60" t="n">
        <f aca="false">COUNTIFS('Scope Checklist'!$B$6:$B$149,A13,'Scope Checklist'!$E$6:$E$149,"Complete")</f>
        <v>0</v>
      </c>
      <c r="F13" s="60" t="n">
        <f aca="false">COUNTIFS('Scope Checklist'!$B$6:$B$149,A13,'Scope Checklist'!$E$6:$E$149,"Not Needed")</f>
        <v>0</v>
      </c>
      <c r="G13" s="69" t="n">
        <f aca="false">SUMIF('Scope Checklist'!$B$6:$B$149,A13,'Scope Checklist'!$L$6:$L$149)</f>
        <v>0</v>
      </c>
      <c r="H13" s="69" t="n">
        <f aca="false">SUMIF('Scope Checklist'!$B$6:$B$149,A13,'Scope Checklist'!$M$6:$M$149)</f>
        <v>0</v>
      </c>
    </row>
    <row r="14" customFormat="false" ht="15" hidden="false" customHeight="true" outlineLevel="0" collapsed="false">
      <c r="A14" s="61" t="s">
        <v>26</v>
      </c>
      <c r="B14" s="60" t="n">
        <f aca="false">COUNTIF('Scope Checklist'!$B$6:$B$149,A14)</f>
        <v>17</v>
      </c>
      <c r="C14" s="60" t="n">
        <f aca="false">COUNTIFS('Scope Checklist'!$B$6:$B$149,A14,'Scope Checklist'!$E$6:$E$149,"Pending")</f>
        <v>17</v>
      </c>
      <c r="D14" s="60" t="n">
        <f aca="false">COUNTIFS('Scope Checklist'!$B$6:$B$149,A14,'Scope Checklist'!$E$6:$E$149,"In Progress")</f>
        <v>0</v>
      </c>
      <c r="E14" s="60" t="n">
        <f aca="false">COUNTIFS('Scope Checklist'!$B$6:$B$149,A14,'Scope Checklist'!$E$6:$E$149,"Complete")</f>
        <v>0</v>
      </c>
      <c r="F14" s="60" t="n">
        <f aca="false">COUNTIFS('Scope Checklist'!$B$6:$B$149,A14,'Scope Checklist'!$E$6:$E$149,"Not Needed")</f>
        <v>0</v>
      </c>
      <c r="G14" s="69" t="n">
        <f aca="false">SUMIF('Scope Checklist'!$B$6:$B$149,A14,'Scope Checklist'!$L$6:$L$149)</f>
        <v>0</v>
      </c>
      <c r="H14" s="69" t="n">
        <f aca="false">SUMIF('Scope Checklist'!$B$6:$B$149,A14,'Scope Checklist'!$M$6:$M$149)</f>
        <v>0</v>
      </c>
    </row>
    <row r="15" customFormat="false" ht="15" hidden="false" customHeight="true" outlineLevel="0" collapsed="false">
      <c r="A15" s="61" t="s">
        <v>27</v>
      </c>
      <c r="B15" s="60" t="n">
        <f aca="false">COUNTIF('Scope Checklist'!$B$6:$B$149,A15)</f>
        <v>6</v>
      </c>
      <c r="C15" s="60" t="n">
        <f aca="false">COUNTIFS('Scope Checklist'!$B$6:$B$149,A15,'Scope Checklist'!$E$6:$E$149,"Pending")</f>
        <v>6</v>
      </c>
      <c r="D15" s="60" t="n">
        <f aca="false">COUNTIFS('Scope Checklist'!$B$6:$B$149,A15,'Scope Checklist'!$E$6:$E$149,"In Progress")</f>
        <v>0</v>
      </c>
      <c r="E15" s="60" t="n">
        <f aca="false">COUNTIFS('Scope Checklist'!$B$6:$B$149,A15,'Scope Checklist'!$E$6:$E$149,"Complete")</f>
        <v>0</v>
      </c>
      <c r="F15" s="60" t="n">
        <f aca="false">COUNTIFS('Scope Checklist'!$B$6:$B$149,A15,'Scope Checklist'!$E$6:$E$149,"Not Needed")</f>
        <v>0</v>
      </c>
      <c r="G15" s="69" t="n">
        <f aca="false">SUMIF('Scope Checklist'!$B$6:$B$149,A15,'Scope Checklist'!$L$6:$L$149)</f>
        <v>0</v>
      </c>
      <c r="H15" s="69" t="n">
        <f aca="false">SUMIF('Scope Checklist'!$B$6:$B$149,A15,'Scope Checklist'!$M$6:$M$149)</f>
        <v>0</v>
      </c>
    </row>
    <row r="16" customFormat="false" ht="15" hidden="false" customHeight="true" outlineLevel="0" collapsed="false">
      <c r="A16" s="54" t="s">
        <v>1050</v>
      </c>
      <c r="B16" s="150" t="n">
        <f aca="false">SUM(B5:B15)</f>
        <v>130</v>
      </c>
      <c r="C16" s="150" t="n">
        <f aca="false">SUM(C5:C15)</f>
        <v>116</v>
      </c>
      <c r="D16" s="150" t="n">
        <f aca="false">SUM(D5:D15)</f>
        <v>6</v>
      </c>
      <c r="E16" s="150" t="n">
        <f aca="false">SUM(E5:E15)</f>
        <v>4</v>
      </c>
      <c r="F16" s="150" t="n">
        <f aca="false">SUM(F5:F15)</f>
        <v>4</v>
      </c>
      <c r="G16" s="163" t="n">
        <f aca="false">SUM(G5:G15)</f>
        <v>55875</v>
      </c>
      <c r="H16" s="163" t="n">
        <f aca="false">SUM(H5:H15)</f>
        <v>35475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2026-07-02T16:31:47Z</dcterms:created>
  <dc:creator>openpyxl</dc:creator>
  <dc:description/>
  <dc:language>en-US</dc:language>
  <cp:lastModifiedBy/>
  <dcterms:modified xsi:type="dcterms:W3CDTF">2026-09-24T18:09:56Z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