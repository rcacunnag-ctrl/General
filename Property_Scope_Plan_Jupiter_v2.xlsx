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pe Checklist" sheetId="1" state="visible" r:id="rId3"/>
    <sheet name="Schedule Logic" sheetId="2" state="visible" r:id="rId4"/>
    <sheet name="3-Week Plan" sheetId="3" state="visible" r:id="rId5"/>
    <sheet name="Cost Summary" sheetId="4" state="visible" r:id="rId6"/>
    <sheet name="Summar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30" authorId="0">
      <text>
        <r>
          <rPr>
            <sz val="10"/>
            <rFont val="Arial"/>
            <family val="2"/>
          </rPr>
          <t xml:space="preserve">Proposed: interior demolition complete; dumpster/waste stays open through primer.</t>
        </r>
      </text>
    </comment>
    <comment ref="O34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47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49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52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59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67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68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74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77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78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81" authorId="0">
      <text>
        <r>
          <rPr>
            <sz val="10"/>
            <rFont val="Arial"/>
            <family val="2"/>
          </rPr>
          <t xml:space="preserve">Status/notes look carried over from the previous property template; the 21-Sep session reports Jupiter fully stripped with no MEP work done - verify status, cost and balance.</t>
        </r>
      </text>
    </comment>
    <comment ref="O84" authorId="0">
      <text>
        <r>
          <rPr>
            <sz val="10"/>
            <rFont val="Arial"/>
            <family val="2"/>
          </rPr>
          <t xml:space="preserve">Marked Not Needed here, but the framing row (Demo/Structure) lists a kitchen island and the session describes an open-concept kitchen - confirm with the approved kitchen layout.</t>
        </r>
      </text>
    </comment>
  </commentList>
</comments>
</file>

<file path=xl/sharedStrings.xml><?xml version="1.0" encoding="utf-8"?>
<sst xmlns="http://schemas.openxmlformats.org/spreadsheetml/2006/main" count="1673" uniqueCount="747">
  <si>
    <t xml:space="preserve">COMPLETE RENOVATION - PENDING ITEMS + COST TRACKER</t>
  </si>
  <si>
    <t xml:space="preserve">RACI</t>
  </si>
  <si>
    <t xml:space="preserve">Responsible</t>
  </si>
  <si>
    <t xml:space="preserve">Accountable</t>
  </si>
  <si>
    <t xml:space="preserve">Consulted</t>
  </si>
  <si>
    <t xml:space="preserve">Informed</t>
  </si>
  <si>
    <t xml:space="preserve">Project: </t>
  </si>
  <si>
    <t xml:space="preserve">Jupiter</t>
  </si>
  <si>
    <t xml:space="preserve">Baseline start:</t>
  </si>
  <si>
    <t xml:space="preserve">Updated: July 2, 2026 - costs per Project Status &amp; Cost Summary PDF</t>
  </si>
  <si>
    <t xml:space="preserve">Schedule proposal Sep 24, 2026 (session 2026-ACTA-JUPITER-01): dates in F-H are driven by 'Schedule Logic'. N1-N12 = activities added from the 21-Sep session.</t>
  </si>
  <si>
    <t xml:space="preserve">#</t>
  </si>
  <si>
    <t xml:space="preserve">Category</t>
  </si>
  <si>
    <t xml:space="preserve">Area</t>
  </si>
  <si>
    <t xml:space="preserve">Scope Item</t>
  </si>
  <si>
    <t xml:space="preserve">Status</t>
  </si>
  <si>
    <t xml:space="preserve">Start Day</t>
  </si>
  <si>
    <t xml:space="preserve">End Day</t>
  </si>
  <si>
    <t xml:space="preserve">Effort (Hours)</t>
  </si>
  <si>
    <t xml:space="preserve">Progress (%)</t>
  </si>
  <si>
    <t xml:space="preserve">Exec Order</t>
  </si>
  <si>
    <t xml:space="preserve">Owner</t>
  </si>
  <si>
    <t xml:space="preserve">Total Cost</t>
  </si>
  <si>
    <t xml:space="preserve">Balance Due</t>
  </si>
  <si>
    <t xml:space="preserve">Vendor / Sub</t>
  </si>
  <si>
    <t xml:space="preserve">Notes</t>
  </si>
  <si>
    <t xml:space="preserve">PRE-CONSTRUCTION</t>
  </si>
  <si>
    <t xml:space="preserve">Pre-Construction</t>
  </si>
  <si>
    <t xml:space="preserve">General</t>
  </si>
  <si>
    <t xml:space="preserve">Architecture &amp; Engineering design and proposal</t>
  </si>
  <si>
    <t xml:space="preserve">Pending</t>
  </si>
  <si>
    <t xml:space="preserve">-</t>
  </si>
  <si>
    <t xml:space="preserve">Plan Drafting, caculations, Architectural Plan, Electrical Plan, Plumbing Plan, Mechanical Plan, </t>
  </si>
  <si>
    <t xml:space="preserve">Determine specification sheets (Render)</t>
  </si>
  <si>
    <t xml:space="preserve">It defines the type of finish and material to be used</t>
  </si>
  <si>
    <t xml:space="preserve">Architecture &amp; Engineering Approval</t>
  </si>
  <si>
    <t xml:space="preserve">Select provides and assign budget</t>
  </si>
  <si>
    <t xml:space="preserve">PO Created for each case, set the date for procurement
Determine material supplier &amp; Labor provider
</t>
  </si>
  <si>
    <t xml:space="preserve">Property boundary survey</t>
  </si>
  <si>
    <t xml:space="preserve">Complete</t>
  </si>
  <si>
    <t xml:space="preserve">HOA / ARB approval - Garage Door</t>
  </si>
  <si>
    <t xml:space="preserve">HOA / ARB approval - exterior paint</t>
  </si>
  <si>
    <t xml:space="preserve">HOA / ARB approval - driveway</t>
  </si>
  <si>
    <t xml:space="preserve">HOA / ARB approval - Landscaping</t>
  </si>
  <si>
    <t xml:space="preserve">Obtain access to Online Portal</t>
  </si>
  <si>
    <t xml:space="preserve">Portal depends on the city: 
Town of Jupiter</t>
  </si>
  <si>
    <t xml:space="preserve">Certificate of insurance per trade per jurisdiction</t>
  </si>
  <si>
    <t xml:space="preserve">To:
County
City
HOA</t>
  </si>
  <si>
    <t xml:space="preserve">Workers compensation per trade</t>
  </si>
  <si>
    <t xml:space="preserve">Ongoing document</t>
  </si>
  <si>
    <t xml:space="preserve">DBPR license per trade</t>
  </si>
  <si>
    <t xml:space="preserve">Notice of Commencement (NOC)</t>
  </si>
  <si>
    <t xml:space="preserve">W1-01</t>
  </si>
  <si>
    <t xml:space="preserve">A</t>
  </si>
  <si>
    <t xml:space="preserve">Based on Martin County:
Obtain the correct file
Fill-out
Notarize
Record</t>
  </si>
  <si>
    <t xml:space="preserve">Permits</t>
  </si>
  <si>
    <t xml:space="preserve">Permits package submittal</t>
  </si>
  <si>
    <t xml:space="preserve">Permit Application per trade
https://www.jupiter.fl.us/98/Permit-Package-Submittal</t>
  </si>
  <si>
    <t xml:space="preserve">GC master permit - Residential alterations and additions</t>
  </si>
  <si>
    <t xml:space="preserve">Residential-AlterationsAdditions</t>
  </si>
  <si>
    <t xml:space="preserve">Mechanical permit</t>
  </si>
  <si>
    <t xml:space="preserve">W1-04</t>
  </si>
  <si>
    <t xml:space="preserve">Mechanical</t>
  </si>
  <si>
    <t xml:space="preserve">Electrical permit</t>
  </si>
  <si>
    <t xml:space="preserve">W1-03</t>
  </si>
  <si>
    <t xml:space="preserve">Please submit/upload plans in PDF format</t>
  </si>
  <si>
    <t xml:space="preserve">Plumbing permit</t>
  </si>
  <si>
    <t xml:space="preserve">W1-02</t>
  </si>
  <si>
    <t xml:space="preserve">Plumbing</t>
  </si>
  <si>
    <t xml:space="preserve">Fence permit</t>
  </si>
  <si>
    <t xml:space="preserve">W1-05</t>
  </si>
  <si>
    <t xml:space="preserve">A + V</t>
  </si>
  <si>
    <t xml:space="preserve">Fences</t>
  </si>
  <si>
    <t xml:space="preserve">Driveway permit</t>
  </si>
  <si>
    <t xml:space="preserve">W1-06</t>
  </si>
  <si>
    <t xml:space="preserve">Concrete, Patios, Decks, Slabs, Pavers Dec21.docx</t>
  </si>
  <si>
    <t xml:space="preserve">Gazebo permit</t>
  </si>
  <si>
    <t xml:space="preserve">Gazebo-Dec1.docx</t>
  </si>
  <si>
    <t xml:space="preserve">Garage-door permit</t>
  </si>
  <si>
    <t xml:space="preserve">Garage-Door-Replacement</t>
  </si>
  <si>
    <t xml:space="preserve">Demolition &amp; Waste Management</t>
  </si>
  <si>
    <t xml:space="preserve">In Progress</t>
  </si>
  <si>
    <t xml:space="preserve">Ongoing</t>
  </si>
  <si>
    <t xml:space="preserve">Dumpster / waste disposal
</t>
  </si>
  <si>
    <t xml:space="preserve">Utilities</t>
  </si>
  <si>
    <t xml:space="preserve">All utilities on autopay, up to date</t>
  </si>
  <si>
    <t xml:space="preserve">INTERIOR - DEMO/STRUCTURE</t>
  </si>
  <si>
    <t xml:space="preserve">Interior - Demo/Structure</t>
  </si>
  <si>
    <t xml:space="preserve">Interior demolition</t>
  </si>
  <si>
    <t xml:space="preserve">Wall partitions, flooring, baseborads, doors, trim, bathrooms and kitchen</t>
  </si>
  <si>
    <t xml:space="preserve">Drywall repair / install + skim coat. Initial phase complete</t>
  </si>
  <si>
    <t xml:space="preserve">W1-08</t>
  </si>
  <si>
    <t xml:space="preserve">V</t>
  </si>
  <si>
    <t xml:space="preserve">N1</t>
  </si>
  <si>
    <t xml:space="preserve">Site protection + inventory (windows, railings, outlets, switches, smoke detectors)</t>
  </si>
  <si>
    <t xml:space="preserve">Added from 21-Sep session [16:10]-[17:08]: tape/plastic on windows + railings; inventory and cover outlets, switches, smoke detectors before any new trade enters (lesson: tile crew cement on windows/railings); seal AC returns/registers, air handler off or filtered during dusty work</t>
  </si>
  <si>
    <t xml:space="preserve">N2</t>
  </si>
  <si>
    <t xml:space="preserve">Structure</t>
  </si>
  <si>
    <t xml:space="preserve">Structural engineering review - removed interior walls / truss bearing</t>
  </si>
  <si>
    <t xml:space="preserve">A / Sub</t>
  </si>
  <si>
    <t xml:space="preserve">Added from 21-Sep session [14:41]-[15:36]: engineer verifies roof trusses bear on perimeter walls; signed + sealed letter feeds A&amp;E plans and framing permit</t>
  </si>
  <si>
    <t xml:space="preserve">Popcorn ceiling removal - flat finish &amp; skin coat</t>
  </si>
  <si>
    <t xml:space="preserve">Sub</t>
  </si>
  <si>
    <t xml:space="preserve">All applicable areas included garage. Asbestos test on texture BEFORE scraping (lab 2-3 days); scrape + first flat coat now, final skim after MEP rough-in (recessed light cuts)</t>
  </si>
  <si>
    <t xml:space="preserve">Framing repairs / new partitions</t>
  </si>
  <si>
    <t xml:space="preserve">Master Bathroom walls, Master closet walls, kitchen island. Requires engineer letter (N2) + GC master permit issued</t>
  </si>
  <si>
    <t xml:space="preserve">N3</t>
  </si>
  <si>
    <t xml:space="preserve">Slab trench patch after underground plumbing (baths/kitchen) + slab inspection</t>
  </si>
  <si>
    <t xml:space="preserve">Added from 21-Sep session [52:36]-[53:16]: underground plumbing inspection (P-trap, slope) must PASS before slab is closed; then slab/structure + plumbing inspections run together</t>
  </si>
  <si>
    <t xml:space="preserve">Concrete slab repair + tile infill under AC unit</t>
  </si>
  <si>
    <t xml:space="preserve">W1-09</t>
  </si>
  <si>
    <t xml:space="preserve">Slab below equipment requires repair; cost in HVAC maintenance line; small demo required; V: demo tile in closet, install new tile</t>
  </si>
  <si>
    <t xml:space="preserve">N4</t>
  </si>
  <si>
    <t xml:space="preserve">Inspections</t>
  </si>
  <si>
    <t xml:space="preserve">Framing + MEP rough-in inspections (pre-cover milestone)</t>
  </si>
  <si>
    <t xml:space="preserve">Added from 21-Sep session [35:22]-[40:28]: schedule via MGO; inspector usually next day; sealed large-format plans on site for inspector comments. Gate for closing walls (drywall)</t>
  </si>
  <si>
    <t xml:space="preserve">Drywall repair / install &amp; finish. 2nd phase </t>
  </si>
  <si>
    <t xml:space="preserve">W2-19</t>
  </si>
  <si>
    <t xml:space="preserve">Corner bead finish + paint at windows/doors. Hang + tape new partitions only after framing/MEP rough-in inspections PASS (N4)</t>
  </si>
  <si>
    <t xml:space="preserve">Drywall repair / install &amp; finish. Final phase </t>
  </si>
  <si>
    <t xml:space="preserve">Final sand + popcorn-ceiling final skim; surfaces ready for primer</t>
  </si>
  <si>
    <t xml:space="preserve">N5</t>
  </si>
  <si>
    <t xml:space="preserve">Surface prep - primer on walls + ceilings</t>
  </si>
  <si>
    <t xml:space="preserve">H</t>
  </si>
  <si>
    <t xml:space="preserve">Added from 21-Sep session [18:17]-[19:44]: first coat = primer (wall/ceiling specific) before wet trades; improves adhesion, fewer paint coats</t>
  </si>
  <si>
    <t xml:space="preserve">Attic insulation</t>
  </si>
  <si>
    <t xml:space="preserve">Not Needed</t>
  </si>
  <si>
    <t xml:space="preserve">INTERIOR - ELECTRICAL</t>
  </si>
  <si>
    <t xml:space="preserve">Interior - Electrical</t>
  </si>
  <si>
    <t xml:space="preserve">Contract</t>
  </si>
  <si>
    <t xml:space="preserve">Electrical contract - overall</t>
  </si>
  <si>
    <t xml:space="preserve">W2-02</t>
  </si>
  <si>
    <t xml:space="preserve">$7,000 paid / $7,000 balance; final inspection pending; remaining: light fixtures + fans, all outlets + switches, kitchen chandelier, exterior floodlight, kitchen LED lighting, bath exhaust fans, bathtub electrical connection, LED mirror install</t>
  </si>
  <si>
    <t xml:space="preserve">N6</t>
  </si>
  <si>
    <t xml:space="preserve">Whole house</t>
  </si>
  <si>
    <t xml:space="preserve">Make-safe exposed wiring from demolition (cap, label, temp lighting)</t>
  </si>
  <si>
    <t xml:space="preserve">Added from 21-Sep session [14:34]-[14:41]: loose conductors left where partitions were removed; cap/label live circuits before trades return</t>
  </si>
  <si>
    <t xml:space="preserve">Electrical panel change out</t>
  </si>
  <si>
    <t xml:space="preserve">W1-10</t>
  </si>
  <si>
    <t xml:space="preserve">Permit pending; Panel already installed; V: add labels to cover, identify amperage + service; A: schedule + pass inspection</t>
  </si>
  <si>
    <t xml:space="preserve">N7</t>
  </si>
  <si>
    <t xml:space="preserve">Electrical rough-in - relocated boxes, new kitchen/bath circuits</t>
  </si>
  <si>
    <t xml:space="preserve">Added from 21-Sep session [12:07]-[12:38]: open-concept kitchen + removed walls = relocate boxes/switch legs; dedicated circuits fridge, oven, DW, disposal, hood; bath fans, tub, LED niches. Inspected in N4</t>
  </si>
  <si>
    <t xml:space="preserve">Outlets, switches, GFCI/AFCI</t>
  </si>
  <si>
    <t xml:space="preserve">All pending install, including switches; in electrical contract; Include dedicated outlets for refrigerator + oven; Purchase W1 (A purchase session)</t>
  </si>
  <si>
    <t xml:space="preserve">Recessed lighting (LED)</t>
  </si>
  <si>
    <t xml:space="preserve">All installed and working except one recessed light in patio area</t>
  </si>
  <si>
    <t xml:space="preserve">Ceiling fans</t>
  </si>
  <si>
    <t xml:space="preserve">Purchased (patio, master, bed 2, bed 3, living); awaiting install; in electrical contract</t>
  </si>
  <si>
    <t xml:space="preserve">Dining</t>
  </si>
  <si>
    <t xml:space="preserve">Dining fixture (kitchen chandelier)</t>
  </si>
  <si>
    <t xml:space="preserve">Fixture on hand; reposition electrical box pending; install in electrical contract</t>
  </si>
  <si>
    <t xml:space="preserve">Bathrooms</t>
  </si>
  <si>
    <t xml:space="preserve">LED mirrors - install</t>
  </si>
  <si>
    <t xml:space="preserve">W3-04</t>
  </si>
  <si>
    <t xml:space="preserve">In electrical contract remaining work; Purchase in W1 session (A)</t>
  </si>
  <si>
    <t xml:space="preserve">Smoke / CO detectors - replace all</t>
  </si>
  <si>
    <t xml:space="preserve">W1-14</t>
  </si>
  <si>
    <t xml:space="preserve">V &gt; A</t>
  </si>
  <si>
    <t xml:space="preserve">Count pending; purchase pending; V: count detectors; A: purchase after count; existing detectors covered during protection (N1) - replace with interconnected units at trim</t>
  </si>
  <si>
    <t xml:space="preserve">Doorbell / smart doorbell</t>
  </si>
  <si>
    <t xml:space="preserve">INTERIOR - PLUMBING</t>
  </si>
  <si>
    <t xml:space="preserve">Interior - Plumbing</t>
  </si>
  <si>
    <t xml:space="preserve">Plumbing redirects (in lieu of full repipe)</t>
  </si>
  <si>
    <t xml:space="preserve">Lines redirected for new shower valves, new toilet position, new kitchen faucet + dishwasher locations; new fridge water line overhead in blue PEX</t>
  </si>
  <si>
    <t xml:space="preserve">N8</t>
  </si>
  <si>
    <t xml:space="preserve">Underground DWV rough-in (baths/kitchen) incl. P-traps + underground inspection PASS</t>
  </si>
  <si>
    <t xml:space="preserve">Added from 21-Sep session [50:25]-[52:36]: a straight pipe without U/P-trap caused sewer gas and a finished shower had to be demolished. Camera-scope existing drains; do NOT close slab until inspector passes</t>
  </si>
  <si>
    <t xml:space="preserve">N9</t>
  </si>
  <si>
    <t xml:space="preserve">Water supply rough-in / top-out (shower valves, toilets, kitchen, fridge line) + pressure test</t>
  </si>
  <si>
    <t xml:space="preserve">Added from 21-Sep session [53:00]-[53:16]: plumbing inspector checks open penetrations + blocking for liner; inspected in N4</t>
  </si>
  <si>
    <t xml:space="preserve">Plumbing inventory check - supply lines, drainage, P-traps</t>
  </si>
  <si>
    <t xml:space="preserve">W2-03</t>
  </si>
  <si>
    <t xml:space="preserve">Confirm inventory for all: kitchen faucet, bathroom faucets, toilets; build list (P-traps etc.); purchase gaps</t>
  </si>
  <si>
    <t xml:space="preserve">Final plumbing completion labor</t>
  </si>
  <si>
    <t xml:space="preserve">Victor</t>
  </si>
  <si>
    <t xml:space="preserve">~3 days labor at Victor's daily rate; final inspection pending; trim-out after cabinets, tops + tile (PROVISIONAL anchor in Schedule Logic)</t>
  </si>
  <si>
    <t xml:space="preserve">Angle stops and supply lines throughout</t>
  </si>
  <si>
    <t xml:space="preserve">Water heater</t>
  </si>
  <si>
    <t xml:space="preserve">Working condition - keep</t>
  </si>
  <si>
    <t xml:space="preserve">INTERIOR - HVAC</t>
  </si>
  <si>
    <t xml:space="preserve">Interior - HVAC</t>
  </si>
  <si>
    <t xml:space="preserve">AC unit replacement</t>
  </si>
  <si>
    <t xml:space="preserve">Keeping existing unit; permit + inspection to cure open violation</t>
  </si>
  <si>
    <t xml:space="preserve">HVAC maintenance + concrete slab repair</t>
  </si>
  <si>
    <t xml:space="preserve">$1,000-$2,100 range; final cost depends on slab repaired in-house vs fully replaced; permit + inspection required (quick turnaround); A: hire service company</t>
  </si>
  <si>
    <t xml:space="preserve">N10</t>
  </si>
  <si>
    <t xml:space="preserve">Duct modifications - removed partitions, kitchen hood + bath exhaust ducting</t>
  </si>
  <si>
    <t xml:space="preserve">Added from 21-Sep session [12:07]-[12:38] + [33:19]: walls removed for open concept may carry supply/return runs; hood + bath fan ducts (master coupling pending) go in before walls close. Mechanical rough inspected in N4</t>
  </si>
  <si>
    <t xml:space="preserve">Ductwork inspection / repair / clean</t>
  </si>
  <si>
    <t xml:space="preserve">Clean AFTER drywall sanding + primer (dust); returns/registers sealed and filters changed during dusty work</t>
  </si>
  <si>
    <t xml:space="preserve">HVAC coil cleaning</t>
  </si>
  <si>
    <t xml:space="preserve">Part of maintenance line</t>
  </si>
  <si>
    <t xml:space="preserve">HVAC coolant refill service</t>
  </si>
  <si>
    <t xml:space="preserve">AC diffusers</t>
  </si>
  <si>
    <t xml:space="preserve">Purchase + install pending; A: purchase diffusers</t>
  </si>
  <si>
    <t xml:space="preserve">Thermostat</t>
  </si>
  <si>
    <t xml:space="preserve">Return/exchange thermostat; install pending; V: pack thermostat + return via UPS</t>
  </si>
  <si>
    <t xml:space="preserve">KITCHEN</t>
  </si>
  <si>
    <t xml:space="preserve">N11</t>
  </si>
  <si>
    <t xml:space="preserve">Kitchen</t>
  </si>
  <si>
    <t xml:space="preserve">Cabinetry</t>
  </si>
  <si>
    <t xml:space="preserve">Cabinet order - field-verify dimensions, PO + fabrication (3-4 wk)</t>
  </si>
  <si>
    <t xml:space="preserve">Added from 21-Sep session [25:34]-[29:44]: ready-made / semi-custom cabinets, not fully custom; fabrication 3-4 wk (a half-size kitchen took 2 wk); only long-lead item [28:29]. Order after framing fixes dimensions + appliance specs (fridge 36 in width/depth, cooktop, hood); timed to land at primer end to defer cash [28:00]. Layout must first be approved by Jaime [13:21]</t>
  </si>
  <si>
    <t xml:space="preserve">Kitchen cabinets + bathroom vanities (combined contract)</t>
  </si>
  <si>
    <t xml:space="preserve">W1-11</t>
  </si>
  <si>
    <t xml:space="preserve">Noel</t>
  </si>
  <si>
    <t xml:space="preserve">$16,875 paid / $4,875 balance; install by cabinet manufacturer, 1-2 days max; quality verification meeting Mon Jul 6, 11:00 AM; A &amp; V both present at Noel appointment Mon Jul 6, 11 AM</t>
  </si>
  <si>
    <t xml:space="preserve">Countertops</t>
  </si>
  <si>
    <t xml:space="preserve">Stone countertops + backsplash (kitchen + baths)</t>
  </si>
  <si>
    <t xml:space="preserve">W1-12</t>
  </si>
  <si>
    <t xml:space="preserve">A / M</t>
  </si>
  <si>
    <t xml:space="preserve">Martin</t>
  </si>
  <si>
    <t xml:space="preserve">$3,950-$5,925 range at $50-$75/sq ft installed + fabricated; kitchen ~35 sq ft counter + ~25 sq ft backsplash; bath 2 ~8 sq ft; master ~11 sq ft; fabrication ~5 business days, install 1-2 days; CABINETS MUST BE FULLY INSTALLED BEFORE FIELD MEASUREMENTS; call Martin for quote; decide if kitchen differs from vanity tops + thresholds; A: request Martin appointment for same Monday Jul 6; Martin meeting Sat Jul 4 - V attends; M provides quote; A selects stone, purchases + makes down payment; M installs ~5 days after quote, subject to stone purchase + delivery availability</t>
  </si>
  <si>
    <t xml:space="preserve">Kitchen sink - purchase</t>
  </si>
  <si>
    <t xml:space="preserve">W1-13</t>
  </si>
  <si>
    <t xml:space="preserve">Kitchen faucet</t>
  </si>
  <si>
    <t xml:space="preserve">Purchase or verify purchase; V: verify faucet already purchased; if not, A purchases</t>
  </si>
  <si>
    <t xml:space="preserve">Appliance package - purchase, transport, install</t>
  </si>
  <si>
    <t xml:space="preserve">Samsung oven + microwave combo $3,700; cooktop $650; dishwasher $500; exhaust hood $500; garbage disposal $250; wine cooler $450; refrigerator $1,800; washer + dryer set $1,250; source via Facebook Marketplace where possible; delivery coordination + install scheduling pending; A: ongoing marketplace search; V: provide refrigerator depth (width confirmed 36 in); V: transport + install W1-W2 as items are acquired</t>
  </si>
  <si>
    <t xml:space="preserve">N12</t>
  </si>
  <si>
    <t xml:space="preserve">Appliance install + hook-ups (oven, cooktop, DW, disposal, hood, fridge line)</t>
  </si>
  <si>
    <t xml:space="preserve">Added: cooktop + sink templates go to the stone fabricator before fabrication; hook-ups need plumbing + electrical trim (dedicated oven/fridge outlets)</t>
  </si>
  <si>
    <t xml:space="preserve">Under-cabinet lighting</t>
  </si>
  <si>
    <t xml:space="preserve">Select transformer; select LED strip; puck light selection, count + purchase; kitchen LED in electrical contract; A: purchase LED lighting for cabinetry</t>
  </si>
  <si>
    <t xml:space="preserve">Kitchen island</t>
  </si>
  <si>
    <t xml:space="preserve">BATH - MASTER</t>
  </si>
  <si>
    <t xml:space="preserve">Bath - Master</t>
  </si>
  <si>
    <t xml:space="preserve">Vanity</t>
  </si>
  <si>
    <t xml:space="preserve">Vanity cabinetry - confirm quality</t>
  </si>
  <si>
    <t xml:space="preserve">In cabinet contract</t>
  </si>
  <si>
    <t xml:space="preserve">Sink selection - double sinks</t>
  </si>
  <si>
    <t xml:space="preserve">A purchases sinks</t>
  </si>
  <si>
    <t xml:space="preserve">Vanity stone top - select (~11 sq ft)</t>
  </si>
  <si>
    <t xml:space="preserve">In stone contract line</t>
  </si>
  <si>
    <t xml:space="preserve">Double faucets + double sinks - install</t>
  </si>
  <si>
    <t xml:space="preserve">W3-02</t>
  </si>
  <si>
    <t xml:space="preserve">Verify vanity height pending</t>
  </si>
  <si>
    <t xml:space="preserve">Toilet</t>
  </si>
  <si>
    <t xml:space="preserve">Toilet install + new wax ring</t>
  </si>
  <si>
    <t xml:space="preserve">W1-20</t>
  </si>
  <si>
    <t xml:space="preserve">New toilet position (drain relocated); New flange if necessary; verify supply line + drainage positioning; One row per bathroom (master + secondary)</t>
  </si>
  <si>
    <t xml:space="preserve">Tub</t>
  </si>
  <si>
    <t xml:space="preserve">Tub install</t>
  </si>
  <si>
    <t xml:space="preserve">W2-17</t>
  </si>
  <si>
    <t xml:space="preserve">Bathtub electrical connection in electrical contract; Bathtub electrical connection ASAP in W1 - ready for inspection; set tub in W2 after inspections pass</t>
  </si>
  <si>
    <t xml:space="preserve">Shower</t>
  </si>
  <si>
    <t xml:space="preserve">LED niche</t>
  </si>
  <si>
    <t xml:space="preserve">ASAP - confirm inventory or place supply order</t>
  </si>
  <si>
    <t xml:space="preserve">Shower drains - select + purchase (BOTH baths)</t>
  </si>
  <si>
    <t xml:space="preserve">Needed on hand before pan liner / tile sequence</t>
  </si>
  <si>
    <t xml:space="preserve">Shower prep - confirm metal frame distance + shower door frame support (BOTH baths)</t>
  </si>
  <si>
    <t xml:space="preserve">W1-17</t>
  </si>
  <si>
    <t xml:space="preserve">Pre-liner check; do labor if needed; supports glass door install later</t>
  </si>
  <si>
    <t xml:space="preserve">Durock + waterproofing install</t>
  </si>
  <si>
    <t xml:space="preserve">W1-18</t>
  </si>
  <si>
    <t xml:space="preserve">Shower sequence steps 3-4: Durock, then waterproofing - after pan liner inspection passes</t>
  </si>
  <si>
    <t xml:space="preserve">Pan liner install + inspection pass</t>
  </si>
  <si>
    <t xml:space="preserve">Shower sequence step 2 (after step 1 framing); CANNOT start before permit issuance + plumbing/framing/slab inspections scheduled/passed</t>
  </si>
  <si>
    <t xml:space="preserve">Bathroom tile installation - labor (BOTH baths)</t>
  </si>
  <si>
    <t xml:space="preserve">W2-01</t>
  </si>
  <si>
    <t xml:space="preserve">Complete bathroom tile install, both bathrooms; ~10 days total; Starts ONLY after framing, Durock, waterproofing + passed inspections (W1-18 sequence)</t>
  </si>
  <si>
    <t xml:space="preserve">Metal trim (edge profile) - verify availability</t>
  </si>
  <si>
    <t xml:space="preserve">V: confirm metal trim color + count</t>
  </si>
  <si>
    <t xml:space="preserve">Threshold + bench top</t>
  </si>
  <si>
    <t xml:space="preserve">W3-01</t>
  </si>
  <si>
    <t xml:space="preserve">M</t>
  </si>
  <si>
    <t xml:space="preserve">Coordinate stone with countertop selection</t>
  </si>
  <si>
    <t xml:space="preserve">Glass shower enclosure - MASTER</t>
  </si>
  <si>
    <t xml:space="preserve">W3-03</t>
  </si>
  <si>
    <t xml:space="preserve">G</t>
  </si>
  <si>
    <t xml:space="preserve">Gino</t>
  </si>
  <si>
    <t xml:space="preserve">$2,500-$3,000; fabrication ~4 days; install 1-2 days; measurements pending; Gino: quote + install MASTER</t>
  </si>
  <si>
    <t xml:space="preserve">Finishes</t>
  </si>
  <si>
    <t xml:space="preserve">Paint all walls</t>
  </si>
  <si>
    <t xml:space="preserve">W2-13</t>
  </si>
  <si>
    <t xml:space="preserve">Pocket door - verify function + paint</t>
  </si>
  <si>
    <t xml:space="preserve">W2-14</t>
  </si>
  <si>
    <t xml:space="preserve">Bath hardware (towel bars, TP holder, etc.)</t>
  </si>
  <si>
    <t xml:space="preserve">A &gt; V</t>
  </si>
  <si>
    <t xml:space="preserve">Purchase W1 (A - Amazon / online / retail); install W3</t>
  </si>
  <si>
    <t xml:space="preserve">Ventilation</t>
  </si>
  <si>
    <t xml:space="preserve">Exhaust fan</t>
  </si>
  <si>
    <t xml:space="preserve">Duct install - coupling pending; fan install in electrical contract</t>
  </si>
  <si>
    <t xml:space="preserve">BATH - SECONDARY</t>
  </si>
  <si>
    <t xml:space="preserve">Bath - Secondary</t>
  </si>
  <si>
    <t xml:space="preserve">Sink selection - single sink</t>
  </si>
  <si>
    <t xml:space="preserve">Vanity stone top - select (~8 sq ft)</t>
  </si>
  <si>
    <t xml:space="preserve">Faucet + sink - install</t>
  </si>
  <si>
    <t xml:space="preserve">New flange if necessary; verify supply line + drainage positioning; One row per bathroom (master + secondary)</t>
  </si>
  <si>
    <t xml:space="preserve">Shower tile install</t>
  </si>
  <si>
    <t xml:space="preserve">Labor in master line (both baths, $3,500); Sub - after W1-18 sequence + inspections pass</t>
  </si>
  <si>
    <t xml:space="preserve">Glass shower enclosure</t>
  </si>
  <si>
    <t xml:space="preserve">A / V</t>
  </si>
  <si>
    <t xml:space="preserve">In master line (both baths); Use existing inventory glass with black hardware (A provides); V must confirm width</t>
  </si>
  <si>
    <t xml:space="preserve">Verify power supply; fan install in electrical contract</t>
  </si>
  <si>
    <t xml:space="preserve">INTERIOR - FINISHES</t>
  </si>
  <si>
    <t xml:space="preserve">Interior - Finishes</t>
  </si>
  <si>
    <t xml:space="preserve">Flooring</t>
  </si>
  <si>
    <t xml:space="preserve">Tile - inspect grout 100% + clean 100%</t>
  </si>
  <si>
    <t xml:space="preserve">W2-15</t>
  </si>
  <si>
    <t xml:space="preserve">LVP in bedrooms</t>
  </si>
  <si>
    <t xml:space="preserve">Transitions - tile to LVP between rooms</t>
  </si>
  <si>
    <t xml:space="preserve">A buys transitions; V installs</t>
  </si>
  <si>
    <t xml:space="preserve">Trim</t>
  </si>
  <si>
    <t xml:space="preserve">Baseboards - inspect 100%, paint + caulk</t>
  </si>
  <si>
    <t xml:space="preserve">Door trim / casings - inspect 100%, paint + caulk</t>
  </si>
  <si>
    <t xml:space="preserve">Crown molding - inspect 100%, paint + caulk</t>
  </si>
  <si>
    <t xml:space="preserve">Interior paint - walls, ceilings</t>
  </si>
  <si>
    <t xml:space="preserve">H: paint finish inside + touch-ups</t>
  </si>
  <si>
    <t xml:space="preserve">Pre-final alignment punch - doors, door handles, drawers, closet doors</t>
  </si>
  <si>
    <t xml:space="preserve">W2-20</t>
  </si>
  <si>
    <t xml:space="preserve">Alignment pass before final punch list; could be done W2</t>
  </si>
  <si>
    <t xml:space="preserve">Interior doors and hardware</t>
  </si>
  <si>
    <t xml:space="preserve">Window treatments - blinds</t>
  </si>
  <si>
    <t xml:space="preserve">W3-08</t>
  </si>
  <si>
    <t xml:space="preserve">Request approval for blinds; V: confirm measurements; A: selection; approval needed</t>
  </si>
  <si>
    <t xml:space="preserve">Closets</t>
  </si>
  <si>
    <t xml:space="preserve">Master closet - IKEA</t>
  </si>
  <si>
    <t xml:space="preserve">W2-18</t>
  </si>
  <si>
    <t xml:space="preserve">Purchase, assemble, install; A purchases ASAP (W1); transport V&amp;A or A&amp;H; V assembles + installs</t>
  </si>
  <si>
    <t xml:space="preserve">Second closet - IKEA</t>
  </si>
  <si>
    <t xml:space="preserve">Garage</t>
  </si>
  <si>
    <t xml:space="preserve">Garage shelf - install</t>
  </si>
  <si>
    <t xml:space="preserve">W2-21</t>
  </si>
  <si>
    <t xml:space="preserve">A selects; V installs</t>
  </si>
  <si>
    <t xml:space="preserve">Garage floor - repair + epoxy</t>
  </si>
  <si>
    <t xml:space="preserve">W2-12</t>
  </si>
  <si>
    <t xml:space="preserve">A: ask expert why yellow stain; V: fix (labor)</t>
  </si>
  <si>
    <t xml:space="preserve">Tool box / shelf from Delray storage</t>
  </si>
  <si>
    <t xml:space="preserve">W3-13</t>
  </si>
  <si>
    <t xml:space="preserve">A + H</t>
  </si>
  <si>
    <t xml:space="preserve">Transport + place; Organize storage (H &amp; A); transport tool box to property (H &amp; A)</t>
  </si>
  <si>
    <t xml:space="preserve">CLOSEOUT</t>
  </si>
  <si>
    <t xml:space="preserve">Closeout</t>
  </si>
  <si>
    <t xml:space="preserve">Final inspections - all trades</t>
  </si>
  <si>
    <t xml:space="preserve">W3-14</t>
  </si>
  <si>
    <t xml:space="preserve">Roofing, windows/doors, electrical, plumbing, mechanical</t>
  </si>
  <si>
    <t xml:space="preserve">Permit closeout / CO or CC</t>
  </si>
  <si>
    <t xml:space="preserve">W3-15</t>
  </si>
  <si>
    <t xml:space="preserve">Incl. curing old AC permit violation</t>
  </si>
  <si>
    <t xml:space="preserve">Punch list walkthrough</t>
  </si>
  <si>
    <t xml:space="preserve">W3-17</t>
  </si>
  <si>
    <t xml:space="preserve">Final window cleaning</t>
  </si>
  <si>
    <t xml:space="preserve">W3-16</t>
  </si>
  <si>
    <t xml:space="preserve">Along with final pressure wash</t>
  </si>
  <si>
    <t xml:space="preserve">Final deep clean</t>
  </si>
  <si>
    <t xml:space="preserve">W3-18</t>
  </si>
  <si>
    <t xml:space="preserve">Staging / photos (if listing)</t>
  </si>
  <si>
    <t xml:space="preserve">W3-19</t>
  </si>
  <si>
    <t xml:space="preserve">TOTALS</t>
  </si>
  <si>
    <t xml:space="preserve">EXTERIOR</t>
  </si>
  <si>
    <t xml:space="preserve">Exterior</t>
  </si>
  <si>
    <t xml:space="preserve">Roof</t>
  </si>
  <si>
    <t xml:space="preserve">Roof replacement</t>
  </si>
  <si>
    <t xml:space="preserve">Paid in full; final inspection pending</t>
  </si>
  <si>
    <t xml:space="preserve">Gutters and downspouts</t>
  </si>
  <si>
    <t xml:space="preserve">Fascia - 100% replacement + caulking</t>
  </si>
  <si>
    <t xml:space="preserve">100% caulked</t>
  </si>
  <si>
    <t xml:space="preserve">Fascia + trim repaint</t>
  </si>
  <si>
    <t xml:space="preserve">W2-05</t>
  </si>
  <si>
    <t xml:space="preserve">H: repaint + change color; A: confirm color choice</t>
  </si>
  <si>
    <t xml:space="preserve">Soffit - replace vents, paint vents</t>
  </si>
  <si>
    <t xml:space="preserve">H: install vents, paint vents, remove old mesh</t>
  </si>
  <si>
    <t xml:space="preserve">Envelope</t>
  </si>
  <si>
    <t xml:space="preserve">Stucco repair</t>
  </si>
  <si>
    <t xml:space="preserve">Stucco texture</t>
  </si>
  <si>
    <t xml:space="preserve">W2-04</t>
  </si>
  <si>
    <t xml:space="preserve">S</t>
  </si>
  <si>
    <t xml:space="preserve">A: find stucco sub</t>
  </si>
  <si>
    <t xml:space="preserve">Paint over textured stucco areas</t>
  </si>
  <si>
    <t xml:space="preserve">Exterior pressure washing - final closeout</t>
  </si>
  <si>
    <t xml:space="preserve">Along with final window cleaning</t>
  </si>
  <si>
    <t xml:space="preserve">Exterior paint - full house</t>
  </si>
  <si>
    <t xml:space="preserve">ARB approved</t>
  </si>
  <si>
    <t xml:space="preserve">Windows/Doors</t>
  </si>
  <si>
    <t xml:space="preserve">Impact windows + doors installation</t>
  </si>
  <si>
    <t xml:space="preserve">Paid in full ($300 credit applied); final inspection pending; remaining: decorative door panels + close-out trim</t>
  </si>
  <si>
    <t xml:space="preserve">Patio (sliding) doors</t>
  </si>
  <si>
    <t xml:space="preserve">Installed</t>
  </si>
  <si>
    <t xml:space="preserve">Front entry door</t>
  </si>
  <si>
    <t xml:space="preserve">W1-15</t>
  </si>
  <si>
    <t xml:space="preserve">Design pending; decorative door panels per window contract; A: call Reylos to schedule final install</t>
  </si>
  <si>
    <t xml:space="preserve">Grid decoration - patio doors + kitchen door</t>
  </si>
  <si>
    <t xml:space="preserve">Included in window contract remaining work; A: call Reylos to schedule final install</t>
  </si>
  <si>
    <t xml:space="preserve">Exterior door handles</t>
  </si>
  <si>
    <t xml:space="preserve">W3-12</t>
  </si>
  <si>
    <t xml:space="preserve">Garage door (exterior) - hurricane rated</t>
  </si>
  <si>
    <t xml:space="preserve">W2-11</t>
  </si>
  <si>
    <t xml:space="preserve">V+H / A</t>
  </si>
  <si>
    <t xml:space="preserve">Swap with Jupiter unit; permit pending; $5,500-$7,500 installed range (HVHZ/wind-load compliance); incl. removal, reinforced tracks, wind-load hardware, motor reconnect, final inspection; A: rental van needed for transport</t>
  </si>
  <si>
    <t xml:space="preserve">Interior garage door (house-to-garage) replacement</t>
  </si>
  <si>
    <t xml:space="preserve">A purchases; V installs</t>
  </si>
  <si>
    <t xml:space="preserve">Garage door opener</t>
  </si>
  <si>
    <t xml:space="preserve">Install pending</t>
  </si>
  <si>
    <t xml:space="preserve">Hardscape</t>
  </si>
  <si>
    <t xml:space="preserve">Driveway pavers</t>
  </si>
  <si>
    <t xml:space="preserve">W1-19</t>
  </si>
  <si>
    <t xml:space="preserve">A / S</t>
  </si>
  <si>
    <t xml:space="preserve">Order ready - arrange delivery + pallet placement; permit resubmission in process; labor $6,200-$7,000 + material ~$2,000 + sealant $2,000; 2-3 days on site; contact labor team; A: contact labor guy, contact supplier, arrange delivery; S does install; A: coordinate sub, arrange delivery, process permit, appointment for final quote, try to meet on site Monday</t>
  </si>
  <si>
    <t xml:space="preserve">Paver brick sealing</t>
  </si>
  <si>
    <t xml:space="preserve">W2-06</t>
  </si>
  <si>
    <t xml:space="preserve">~$2,000 - included in driveway paver line above</t>
  </si>
  <si>
    <t xml:space="preserve">Driveway asphalt overlay</t>
  </si>
  <si>
    <t xml:space="preserve">Permit required (3-5 day review); HOA 2-3 days; 2-3 days labor; no concrete walkway included - confirm if alternative to pavers</t>
  </si>
  <si>
    <t xml:space="preserve">Entry tile installation (walkway now part of pavers)</t>
  </si>
  <si>
    <t xml:space="preserve">W2-07</t>
  </si>
  <si>
    <t xml:space="preserve">Material ~$600; repair 2+ concrete sections (Victor, 2 days @ $300/day); cut root beneath slab; level surface; tile installer 2 days $600-$800; open sides + vertical tile if metal trim edge desired; generates demo waste; direct supervision required; REVISED SCOPE: walkway stays concrete - covered under pavers; S tiles ENTRY at same time as shower tile; A: tile selection; tile MUST happen BEFORE pavers</t>
  </si>
  <si>
    <t xml:space="preserve">Patio - drainage + repairs</t>
  </si>
  <si>
    <t xml:space="preserve">W2-08</t>
  </si>
  <si>
    <t xml:space="preserve">V / H / S</t>
  </si>
  <si>
    <t xml:space="preserve">Cost TBD - inspect drain system, repair as needed, install side drain cover, replace metal screen piece near drain, protect adjacent tile; finish drain pipes; glue broken tile; V: fix drain; H: make hole + cover with soil; S (tile): fix broken piece</t>
  </si>
  <si>
    <t xml:space="preserve">Landscape</t>
  </si>
  <si>
    <t xml:space="preserve">Front yard design</t>
  </si>
  <si>
    <t xml:space="preserve">W1-16</t>
  </si>
  <si>
    <t xml:space="preserve">Design decision pending; A: obtain labor quote + materials quote; provide Jaime with design proposal</t>
  </si>
  <si>
    <t xml:space="preserve">Backyard design</t>
  </si>
  <si>
    <t xml:space="preserve">TBD - deck proposal under review; permit may be required depending on deck size; A: obtain labor quote + materials quote; provide Jaime with design proposal</t>
  </si>
  <si>
    <t xml:space="preserve">Side yard design</t>
  </si>
  <si>
    <t xml:space="preserve">TBD; A: obtain labor quote + materials quote; provide Jaime with design proposal</t>
  </si>
  <si>
    <t xml:space="preserve">Grass installation (front only)</t>
  </si>
  <si>
    <t xml:space="preserve">W3-11</t>
  </si>
  <si>
    <t xml:space="preserve">TBD; With landscape build-out; timing W1-W3 depending on design decision + sub availability</t>
  </si>
  <si>
    <t xml:space="preserve">Tree trimming / removal</t>
  </si>
  <si>
    <t xml:space="preserve">W2-10</t>
  </si>
  <si>
    <t xml:space="preserve">Possible side palm removal; landscape build-out</t>
  </si>
  <si>
    <t xml:space="preserve">Sprinkler system</t>
  </si>
  <si>
    <t xml:space="preserve">W2-09</t>
  </si>
  <si>
    <t xml:space="preserve">Check all heads; verify timer operation all 3 zones; replace broken pipes as needed; S: repair, verify timer, build pipelines as needed</t>
  </si>
  <si>
    <t xml:space="preserve">Sprinkler pump box cover</t>
  </si>
  <si>
    <t xml:space="preserve">A: buy or inquire</t>
  </si>
  <si>
    <t xml:space="preserve">Fence</t>
  </si>
  <si>
    <t xml:space="preserve">Pool</t>
  </si>
  <si>
    <t xml:space="preserve">Pool (resurfacing, equipment, deck)</t>
  </si>
  <si>
    <t xml:space="preserve">No pool</t>
  </si>
  <si>
    <t xml:space="preserve">Screen Enclosure</t>
  </si>
  <si>
    <t xml:space="preserve">Rescreen + structure pressure wash and paint</t>
  </si>
  <si>
    <t xml:space="preserve">Screen door - alignment + lock functionality</t>
  </si>
  <si>
    <t xml:space="preserve">Confirm alignment and lock work</t>
  </si>
  <si>
    <t xml:space="preserve">Exterior light fixtures</t>
  </si>
  <si>
    <t xml:space="preserve">Install flood lights and sconces (floodlight in electrical contract)</t>
  </si>
  <si>
    <t xml:space="preserve">House numbers and mailbox</t>
  </si>
  <si>
    <t xml:space="preserve">Verify condition</t>
  </si>
  <si>
    <t xml:space="preserve">Hose bibs</t>
  </si>
  <si>
    <t xml:space="preserve">Repaired / replaced as needed</t>
  </si>
  <si>
    <t xml:space="preserve">SCHEDULE LOGIC - PRE-CONSTRUCTION, DEMO/STRUCTURE, ELECTRICAL, PLUMBING, HVAC, KITCHEN (proposed baseline)</t>
  </si>
  <si>
    <t xml:space="preserve">Working days Mon-Fri excluding holidays in column M. Edit only the yellow cells (baseline) and blue cells (lag, duration, effort); Start/End recalculate and feed Scope Checklist columns F-H.</t>
  </si>
  <si>
    <t xml:space="preserve">Baseline start</t>
  </si>
  <si>
    <t xml:space="preserve">Set by Andrés/Carlos on 24-Sep-2026 (leaves week of 28-Sep to close ARV / max-budget analysis)</t>
  </si>
  <si>
    <t xml:space="preserve">Scope row</t>
  </si>
  <si>
    <t xml:space="preserve">Predecessor (logic)</t>
  </si>
  <si>
    <t xml:space="preserve">Lag (wd)</t>
  </si>
  <si>
    <t xml:space="preserve">Duration (wd)</t>
  </si>
  <si>
    <t xml:space="preserve">Start</t>
  </si>
  <si>
    <t xml:space="preserve">End</t>
  </si>
  <si>
    <t xml:space="preserve">Effort (hrs)</t>
  </si>
  <si>
    <t xml:space="preserve">Basis / Source</t>
  </si>
  <si>
    <t xml:space="preserve">Holidays</t>
  </si>
  <si>
    <t xml:space="preserve">Veterans Day (city offices closed)</t>
  </si>
  <si>
    <t xml:space="preserve">[10:25]-[11:15] one spec sheet (render) per room; must be validated by Jaime. Gate: max renovation budget from comps/ARV [43:15]</t>
  </si>
  <si>
    <t xml:space="preserve">Thanksgiving</t>
  </si>
  <si>
    <t xml:space="preserve">[31:37] MGO portal - select jurisdiction (Town of Jupiter); confirm county Palm Beach vs Martin [30:34]</t>
  </si>
  <si>
    <t xml:space="preserve">Day after Thanksgiving</t>
  </si>
  <si>
    <t xml:space="preserve">Starts 5 wd after spec sheets start (as-built first)</t>
  </si>
  <si>
    <t xml:space="preserve">[32:44]-[33:38] as-built + proposed plans incl. M/E/P; drafted in-house [38:25] - recommend delegating</t>
  </si>
  <si>
    <t xml:space="preserve">Christmas Eve</t>
  </si>
  <si>
    <t xml:space="preserve">After A&amp;E design</t>
  </si>
  <si>
    <t xml:space="preserve">[39:37]-[39:48] engineer signs/seals before city submittal</t>
  </si>
  <si>
    <t xml:space="preserve">Christmas</t>
  </si>
  <si>
    <t xml:space="preserve">After spec sheets</t>
  </si>
  <si>
    <t xml:space="preserve">[28:00]-[28:29] kitchen cabinets 3-4 wk fabrication = long-lead item; everything else available immediately</t>
  </si>
  <si>
    <t xml:space="preserve">New Year's Day</t>
  </si>
  <si>
    <t xml:space="preserve">Assumption: ARB review ~3 weeks; confirm HOA meeting calendar</t>
  </si>
  <si>
    <t xml:space="preserve">Assumption: submitted together with garage door package</t>
  </si>
  <si>
    <t xml:space="preserve">[26:43] driveway quoted $15-18k; ARB approval before permit</t>
  </si>
  <si>
    <t xml:space="preserve">[12:39] new entrance, fence + lighting concept</t>
  </si>
  <si>
    <t xml:space="preserve">5 wd after provider selection starts</t>
  </si>
  <si>
    <t xml:space="preserve">Needed per trade for sub-permits (County, City, HOA)</t>
  </si>
  <si>
    <t xml:space="preserve">Collected with COI; ongoing document</t>
  </si>
  <si>
    <t xml:space="preserve">License check per trade before permit application</t>
  </si>
  <si>
    <t xml:space="preserve">After sealed plans + portal + COI</t>
  </si>
  <si>
    <t xml:space="preserve">[33:22] city requires independent application per trade under the master project</t>
  </si>
  <si>
    <t xml:space="preserve">After package submittal</t>
  </si>
  <si>
    <t xml:space="preserve">Record before first inspection (FL 713.13); confirm county</t>
  </si>
  <si>
    <t xml:space="preserve">[33:38]-[34:51] master ('papa') permit covers all sub-permits; assumes 1 round of review comments</t>
  </si>
  <si>
    <t xml:space="preserve">5 wd after master permit review starts</t>
  </si>
  <si>
    <t xml:space="preserve">[33:19] Mechanical sub-permit; cures AC items</t>
  </si>
  <si>
    <t xml:space="preserve">[33:16] Electrical sub-permit</t>
  </si>
  <si>
    <t xml:space="preserve">[34:24] Plumbing sub-permit - critical path for baths</t>
  </si>
  <si>
    <t xml:space="preserve">After package + ARB landscaping</t>
  </si>
  <si>
    <t xml:space="preserve">[08:44] existing fence to be removed/replaced</t>
  </si>
  <si>
    <t xml:space="preserve">After package + ARB driveway</t>
  </si>
  <si>
    <t xml:space="preserve">[26:24] driveway; exterior - not on interior critical path</t>
  </si>
  <si>
    <t xml:space="preserve">[13:15] BBQ / outdoor area concept</t>
  </si>
  <si>
    <t xml:space="preserve">After package + ARB garage door</t>
  </si>
  <si>
    <t xml:space="preserve">Garage door replacement permit</t>
  </si>
  <si>
    <t xml:space="preserve">Baseline start -&gt; end of primer (N5)</t>
  </si>
  <si>
    <t xml:space="preserve">Dumpster kept through demo/structure phase</t>
  </si>
  <si>
    <t xml:space="preserve">Baseline start -&gt; closeout</t>
  </si>
  <si>
    <t xml:space="preserve">Ongoing - autopay</t>
  </si>
  <si>
    <t xml:space="preserve">[16:10]-[17:08] protect windows/railings, inventory + cover outlets/switches/smoke detectors; acta: before any new intervention</t>
  </si>
  <si>
    <t xml:space="preserve">Baseline start (feeds A&amp;E design)</t>
  </si>
  <si>
    <t xml:space="preserve">[14:41]-[15:36] load-bearing check of removed walls; trusses bear on perimeter - needs sealed letter</t>
  </si>
  <si>
    <t xml:space="preserve">After site protection</t>
  </si>
  <si>
    <t xml:space="preserve">No permit needed; asbestos test first (industry practice); final skim folded into drywall final</t>
  </si>
  <si>
    <t xml:space="preserve">After GC master permit issued + engineer letter</t>
  </si>
  <si>
    <t xml:space="preserve">[14:41] engineer approval; permitted work cannot start before issuance</t>
  </si>
  <si>
    <t xml:space="preserve">After underground DWV inspection PASS (N8)</t>
  </si>
  <si>
    <t xml:space="preserve">[52:36]-[53:16] underground inspection, then slab + plumbing inspections simultaneously</t>
  </si>
  <si>
    <t xml:space="preserve">After mechanical permit</t>
  </si>
  <si>
    <t xml:space="preserve">V / Sub</t>
  </si>
  <si>
    <t xml:space="preserve">Existing scope note; same crew as N3</t>
  </si>
  <si>
    <t xml:space="preserve">After framing, slabs, panel, electrical rough-in (N7), plumbing top-out (N9) + duct modifications (N10)</t>
  </si>
  <si>
    <t xml:space="preserve">[35:22]-[36:34] each step waits for next-day inspector; buffer for 1 re-inspection</t>
  </si>
  <si>
    <t xml:space="preserve">After inspections PASS</t>
  </si>
  <si>
    <t xml:space="preserve">Hang + tape new partitions; corner bead</t>
  </si>
  <si>
    <t xml:space="preserve">After drywall 2nd phase</t>
  </si>
  <si>
    <t xml:space="preserve">Finish, sand, ceiling final skim</t>
  </si>
  <si>
    <t xml:space="preserve">After drywall final</t>
  </si>
  <si>
    <t xml:space="preserve">[18:17]-[19:44] primer coat on walls + ceilings before wet trades</t>
  </si>
  <si>
    <t xml:space="preserve">LINK TO FINISH TRADES (PROVISIONAL)</t>
  </si>
  <si>
    <t xml:space="preserve">Finish trades ready for MEP trim (milestone)</t>
  </si>
  <si>
    <t xml:space="preserve">PROVISIONAL: primer end + 20 wd - re-link to Kitchen/Bath rows once scheduled</t>
  </si>
  <si>
    <t xml:space="preserve">Sheet data: cabinets install 1-2 d, bath tile ~10 d, countertops field measure + 5-d fabrication + install = ~20 wd before MEP trim</t>
  </si>
  <si>
    <t xml:space="preserve">Baseline start (safety, before trades return)</t>
  </si>
  <si>
    <t xml:space="preserve">[14:34]-[14:41] exposed cables after wall removal</t>
  </si>
  <si>
    <t xml:space="preserve">After electrical permit</t>
  </si>
  <si>
    <t xml:space="preserve">Existing scope; coordinate utility disconnect/reconnect; inspected with rough-in (N4)</t>
  </si>
  <si>
    <t xml:space="preserve">After electrical permit + framing</t>
  </si>
  <si>
    <t xml:space="preserve">[12:07]-[12:38] open kitchen, removed partitions; [33:16] electrical sub-permit</t>
  </si>
  <si>
    <t xml:space="preserve">Trim window (PROVISIONAL anchor)</t>
  </si>
  <si>
    <t xml:space="preserve">Existing scope: incl. dedicated fridge + oven outlets</t>
  </si>
  <si>
    <t xml:space="preserve">With outlets (same electrician visit)</t>
  </si>
  <si>
    <t xml:space="preserve">Cans set at rough-in (N7); trims after paint</t>
  </si>
  <si>
    <t xml:space="preserve">1 wd after outlets start</t>
  </si>
  <si>
    <t xml:space="preserve">Existing scope: patio, master, bed 2, bed 3, living</t>
  </si>
  <si>
    <t xml:space="preserve">2 wd after outlets start</t>
  </si>
  <si>
    <t xml:space="preserve">Existing scope: reposition box at rough-in</t>
  </si>
  <si>
    <t xml:space="preserve">After outlets (vanities + tile in place)</t>
  </si>
  <si>
    <t xml:space="preserve">Existing scope</t>
  </si>
  <si>
    <t xml:space="preserve">After outlets</t>
  </si>
  <si>
    <t xml:space="preserve">[16:49]-[16:55] detectors covered during works; replace at trim</t>
  </si>
  <si>
    <t xml:space="preserve">Umbrella: make-safe start -&gt; last electrical item</t>
  </si>
  <si>
    <t xml:space="preserve">Contract envelope; hours carried by the detail rows</t>
  </si>
  <si>
    <t xml:space="preserve">After plumbing permit (3 wd work + 1 wd inspection)</t>
  </si>
  <si>
    <t xml:space="preserve">[50:25]-[52:36] missing trap -&gt; sewer gas -&gt; shower rebuilt; [52:23] underground inspection before slab</t>
  </si>
  <si>
    <t xml:space="preserve">After slab patch (N3)</t>
  </si>
  <si>
    <t xml:space="preserve">[53:00]-[53:16] inspector checks penetrations + blocking</t>
  </si>
  <si>
    <t xml:space="preserve">After top-out (quantities known)</t>
  </si>
  <si>
    <t xml:space="preserve">Buy P-traps/supply lines early; only long-lead item is kitchen cabinets [28:29]</t>
  </si>
  <si>
    <t xml:space="preserve">Existing scope: ~3 days at Victor's daily rate</t>
  </si>
  <si>
    <t xml:space="preserve">With final plumbing labor</t>
  </si>
  <si>
    <t xml:space="preserve">After mechanical permit + framing</t>
  </si>
  <si>
    <t xml:space="preserve">[33:19] mechanical sub-permit; [12:07] removed partitions; must be in before N4 inspection</t>
  </si>
  <si>
    <t xml:space="preserve">After primer (dusty work finished)</t>
  </si>
  <si>
    <t xml:space="preserve">Industry practice: clean ducts after sanding, not before</t>
  </si>
  <si>
    <t xml:space="preserve">After primer (with duct cleaning visit)</t>
  </si>
  <si>
    <t xml:space="preserve">Existing scope: part of maintenance line</t>
  </si>
  <si>
    <t xml:space="preserve">Same visit as coil cleaning</t>
  </si>
  <si>
    <t xml:space="preserve">Existing scope: purchase early, install after final paint</t>
  </si>
  <si>
    <t xml:space="preserve">Umbrella: AC slab repair start -&gt; last maintenance item</t>
  </si>
  <si>
    <t xml:space="preserve">Contract envelope ($2,100); hours carried by the detail rows</t>
  </si>
  <si>
    <t xml:space="preserve">After framing (dimensions fixed) + provider selection</t>
  </si>
  <si>
    <t xml:space="preserve">[28:00]-[29:44] fabrication 3-4 wk; cash constraint -&gt; order just in time; [13:21] layout needs Jaime approval</t>
  </si>
  <si>
    <t xml:space="preserve">After primer + cabinet delivery</t>
  </si>
  <si>
    <t xml:space="preserve">Sheet: install by manufacturer 1-2 days max; A + V verify quality on site. Vanities follow the bath sequence</t>
  </si>
  <si>
    <t xml:space="preserve">After cabinets set (field template)</t>
  </si>
  <si>
    <t xml:space="preserve">Sheet: template after cabinets set -&gt; ~5 business days fabrication -&gt; install 1-2 days; same slab for vanities/thresholds saves $</t>
  </si>
  <si>
    <t xml:space="preserve">5 wd into cabinet fabrication (must be on site for template)</t>
  </si>
  <si>
    <t xml:space="preserve">Undermount sink needed for countertop cut-out</t>
  </si>
  <si>
    <t xml:space="preserve">5 wd into cabinet fabrication</t>
  </si>
  <si>
    <t xml:space="preserve">Verify if already purchased; faucet hole count for template</t>
  </si>
  <si>
    <t xml:space="preserve">5 wd into cabinet fabrication (specs frozen before order)</t>
  </si>
  <si>
    <t xml:space="preserve">Sheet: appliance package; fridge + cooktop + hood dimensions drive cabinet order and countertop cut-outs</t>
  </si>
  <si>
    <t xml:space="preserve">After countertops + electrical/plumbing trim</t>
  </si>
  <si>
    <t xml:space="preserve">Dedicated circuits from rough-in (N7); DW/disposal need final plumbing</t>
  </si>
  <si>
    <t xml:space="preserve">With electrical trim (after countertops/backsplash)</t>
  </si>
  <si>
    <t xml:space="preserve">Existing scope: transformer + LED strip / puck lights</t>
  </si>
  <si>
    <t xml:space="preserve">Milestones</t>
  </si>
  <si>
    <t xml:space="preserve">Permits issued (GC master + M/E/P)</t>
  </si>
  <si>
    <t xml:space="preserve">Framing + MEP rough-in inspections passed</t>
  </si>
  <si>
    <t xml:space="preserve">Demo/Structure phase complete (primer done)</t>
  </si>
  <si>
    <t xml:space="preserve">Underground plumbing inspection passed</t>
  </si>
  <si>
    <t xml:space="preserve">Finish trades ready for MEP trim (PROVISIONAL)</t>
  </si>
  <si>
    <t xml:space="preserve">Electrical complete (trim)</t>
  </si>
  <si>
    <t xml:space="preserve">Plumbing complete (trim)</t>
  </si>
  <si>
    <t xml:space="preserve">HVAC complete (diffusers + thermostat)</t>
  </si>
  <si>
    <t xml:space="preserve">Kitchen countertops installed</t>
  </si>
  <si>
    <t xml:space="preserve">Kitchen complete (appliances installed)</t>
  </si>
  <si>
    <t xml:space="preserve">Total effort - Pre-Construction (hrs)</t>
  </si>
  <si>
    <t xml:space="preserve">Total effort - Demo/Structure (hrs)</t>
  </si>
  <si>
    <t xml:space="preserve">Total effort - Electrical (hrs)</t>
  </si>
  <si>
    <t xml:space="preserve">Total effort - Plumbing (hrs)</t>
  </si>
  <si>
    <t xml:space="preserve">Total effort - HVAC (hrs)</t>
  </si>
  <si>
    <t xml:space="preserve">Total effort - Kitchen (hrs)</t>
  </si>
  <si>
    <t xml:space="preserve">3-WEEK EXECUTION PLAN - A = Andres | V = Victor | H = Hans | S = Sub | M = Martin (stone) | G = Gino (glass)</t>
  </si>
  <si>
    <t xml:space="preserve">Codes match 'Exec Order' column on Scope Checklist</t>
  </si>
  <si>
    <t xml:space="preserve">WEEK 1 - UNBLOCK: permits, inspections, decisions, purchases, wet-area rough</t>
  </si>
  <si>
    <t xml:space="preserve">Code</t>
  </si>
  <si>
    <t xml:space="preserve">Task</t>
  </si>
  <si>
    <t xml:space="preserve">Record NOC with Broward County (required before first inspection)</t>
  </si>
  <si>
    <t xml:space="preserve">Push issuance: GC master permit + plumbing sub-permit (bathrooms) - CRITICAL PATH for shower pan inspection</t>
  </si>
  <si>
    <t xml:space="preserve">Driveway permit resubmission</t>
  </si>
  <si>
    <t xml:space="preserve">Windows/doors/garage door permit - push forward; schedule inspection</t>
  </si>
  <si>
    <t xml:space="preserve">Electrical permit: A paperwork; V provides labels for panel, amperage, service</t>
  </si>
  <si>
    <t xml:space="preserve">Mechanical permit (cure AC violation): A paperwork + qualifier ~$800 fee; V photographs equipment label (model + tonnage)</t>
  </si>
  <si>
    <t xml:space="preserve">W1-07</t>
  </si>
  <si>
    <t xml:space="preserve">Roofing - COMPLETE, no further action</t>
  </si>
  <si>
    <t xml:space="preserve">Master bath drywall: finish, compound, sand, paint; detach vanity + back wall; confirm faucet height + countertop height for sink type selection</t>
  </si>
  <si>
    <t xml:space="preserve">A / V / Sub</t>
  </si>
  <si>
    <t xml:space="preserve">HVAC: A hires service (coil clean, coolant, filter, duct check); V demos closet tile + installs new tile at unit</t>
  </si>
  <si>
    <t xml:space="preserve">Panel installed: V adds labels to cover + identifies amperage/service; A schedules + passes inspection</t>
  </si>
  <si>
    <t xml:space="preserve">Mon Jul 6, 11 AM - both at Noel cabinet quality appointment -&gt; release manufacturer install (1-2 days); verify vanities same visit</t>
  </si>
  <si>
    <t xml:space="preserve">A / V / M</t>
  </si>
  <si>
    <t xml:space="preserve">Martin meeting Sat Jul 4 - V attends; M provides quote; A selects stone (kitchen vs vanities vs thresholds - same slab saves $), A purchases + makes down payment</t>
  </si>
  <si>
    <t xml:space="preserve">A purchases: kitchen sink, bath sinks, shower drains (both baths - select + buy); V verifies faucet purchased, if not A buys</t>
  </si>
  <si>
    <t xml:space="preserve">A PURCHASE SESSION (Amazon / online / retail): appliances (marketplace), under-cabinet LED, diffusers, LED mirrors, bath hardware, outlets + switches. V: count smoke detectors, pack + return thermostat via UPS, confirm metal trim color + count, provide fridge depth (width = 36 in)</t>
  </si>
  <si>
    <t xml:space="preserve">Call Reylos to schedule final install; front door design + grid decoration (needed before window final inspection)</t>
  </si>
  <si>
    <t xml:space="preserve">Landscape: obtain labor quote + materials quote; provide Jaime with design proposal (front, backyard deck - permit?, side)</t>
  </si>
  <si>
    <t xml:space="preserve">Shower prep: confirm metal frame distance + shower door frame support, both baths; labor if needed</t>
  </si>
  <si>
    <t xml:space="preserve">Shower sequence, both baths - after permit issuance + plumbing/framing/slab inspections: (1) frame, (2) pan liner + PASS inspection, (3) Durock, (4) waterproofing. Gates all tile</t>
  </si>
  <si>
    <t xml:space="preserve">Pavers: contact labor guy, contact supplier, arrange delivery + pallet placement</t>
  </si>
  <si>
    <t xml:space="preserve">Toilets - both baths: install w/ new wax rings; new flange if necessary; verify supply line + drainage positioning</t>
  </si>
  <si>
    <t xml:space="preserve">W1-21</t>
  </si>
  <si>
    <t xml:space="preserve">Bathtub electrical connection - roughed + READY FOR INSPECTION (in electrical contract); tub sets W2 after inspections pass</t>
  </si>
  <si>
    <t xml:space="preserve">WEEK 2 - PRODUCTION: tile marathon, electrical finish, exterior, paint</t>
  </si>
  <si>
    <t xml:space="preserve">Sub STARTS bathroom tile - both baths (~10 days, runs into W3). Only after W1-18 + inspections. Also open exhaust fan holes so fans are install-ready</t>
  </si>
  <si>
    <t xml:space="preserve">Sub / V</t>
  </si>
  <si>
    <t xml:space="preserve">Electrical finish: outlets/switches/GFCI (incl. dedicated fridge + oven outlets), ceiling fans, chandelier box + install, floodlight, kitchen LED, patio recessed fix, doorbell. V: LED niches ASAP - confirm inventory or order supply (before tile)</t>
  </si>
  <si>
    <t xml:space="preserve">Victor plumbing (~3 days): angle stops, supply lines; inventory check - supply lines, drainage, P-traps for kitchen + bath faucets, toilets (list + purchase gaps)</t>
  </si>
  <si>
    <t xml:space="preserve">S / H</t>
  </si>
  <si>
    <t xml:space="preserve">S: stucco texture (A finds stucco sub); H: paint over textured areas</t>
  </si>
  <si>
    <t xml:space="preserve">H / A</t>
  </si>
  <si>
    <t xml:space="preserve">H: fascia + trim repaint (change color), soffit vents install + paint, remove old mesh; A: confirm color choice</t>
  </si>
  <si>
    <t xml:space="preserve">Pavers: S installs + seals; A coordinates sub, arranges delivery, processes permit, sets final quote appointment, tries to meet on site Monday</t>
  </si>
  <si>
    <t xml:space="preserve">ENTRY TILE (walkway stays concrete - part of pavers): A selects tile; S installs at same time as shower tile; MUST happen before pavers</t>
  </si>
  <si>
    <t xml:space="preserve">Patio drainage: V fixes drain; H makes hole + covers with soil; S (tile) fixes broken piece</t>
  </si>
  <si>
    <t xml:space="preserve">S / A</t>
  </si>
  <si>
    <t xml:space="preserve">S: sprinkler repair, timer verify, build pipelines as needed; A: buy or inquire pump box cover</t>
  </si>
  <si>
    <t xml:space="preserve">Tree trimming, possible side palm removal, landscape build-out</t>
  </si>
  <si>
    <t xml:space="preserve">Garage door swap with Jupiter unit + opener; A: rent van for transport</t>
  </si>
  <si>
    <t xml:space="preserve">Garage floor: A asks expert why yellow stain; V fixes (labor); epoxy</t>
  </si>
  <si>
    <t xml:space="preserve">Interior paint: finish inside + touch-ups</t>
  </si>
  <si>
    <t xml:space="preserve">Inspect + finish paint ALL trim: baseboards, casings, crown, interior doors + hardware, pocket doors (function + paint), master finish trim</t>
  </si>
  <si>
    <t xml:space="preserve">Floor transitions: A buys, V installs; LVP bedrooms; grout inspect + clean 100%</t>
  </si>
  <si>
    <t xml:space="preserve">W2-16</t>
  </si>
  <si>
    <t xml:space="preserve">Martin field measure after cabinets set -&gt; 5-day fabrication clock</t>
  </si>
  <si>
    <t xml:space="preserve">Set tub after inspections pass (electrical connected W1-21)</t>
  </si>
  <si>
    <t xml:space="preserve">IKEA closets: A purchases W1 ASAP; transport V&amp;A or A&amp;H; V assembles + installs (master + second)</t>
  </si>
  <si>
    <t xml:space="preserve">Corner bead + window sills - finish + paint AFTER window inspection</t>
  </si>
  <si>
    <t xml:space="preserve">TBD</t>
  </si>
  <si>
    <t xml:space="preserve">Pre-final alignment punch: doors, door handles, drawers, closet doors</t>
  </si>
  <si>
    <t xml:space="preserve">Laundry shelf + garage shelf: A selects; V installs</t>
  </si>
  <si>
    <t xml:space="preserve">WEEK 3 - FINISH + CLOSE: stone, glass, fixtures, inspections</t>
  </si>
  <si>
    <t xml:space="preserve">Countertop + backsplash install (~5 days after quote; subject to stone purchase + delivery availability); thresholds + bench tops</t>
  </si>
  <si>
    <t xml:space="preserve">Install faucets + sinks - both baths + kitchen (verify vanity heights). (Toilets moved to W1-20)</t>
  </si>
  <si>
    <t xml:space="preserve">G / A / V</t>
  </si>
  <si>
    <t xml:space="preserve">Master: Gino quotes + installs glass. Secondary: existing inventory glass w/ black hardware (A provides); V confirms width</t>
  </si>
  <si>
    <t xml:space="preserve">Install LED mirrors + exhaust fans (master duct coupling; secondary power supply); bath hardware (purchased W1)</t>
  </si>
  <si>
    <t xml:space="preserve">W3-06</t>
  </si>
  <si>
    <t xml:space="preserve">Appliances: final installs/connections as acquired (transport + install runs W1-W2)</t>
  </si>
  <si>
    <t xml:space="preserve">Blinds: V confirms measurements; A selects; approval needed; install</t>
  </si>
  <si>
    <t xml:space="preserve">Grass (front) + landscape build-out - timing W1-W3 per design decision + availability</t>
  </si>
  <si>
    <t xml:space="preserve">Small items: house numbers/mailbox, screen door alignment/lock, exterior handles; interior garage door - A purchases, V installs</t>
  </si>
  <si>
    <t xml:space="preserve">Organize storage; transport tool box to property</t>
  </si>
  <si>
    <t xml:space="preserve">FINAL INSPECTIONS: windows/doors, electrical, plumbing, mechanical (AC violation cured)</t>
  </si>
  <si>
    <t xml:space="preserve">Permit closeout - all permits, CO/CC</t>
  </si>
  <si>
    <t xml:space="preserve">Final pressure wash + window cleaning</t>
  </si>
  <si>
    <t xml:space="preserve">Staging + photos</t>
  </si>
  <si>
    <t xml:space="preserve">Moved</t>
  </si>
  <si>
    <t xml:space="preserve">Earlier: toilets -&gt; W1-20 (V); tub set -&gt; W2-17 (V); closets -&gt; W2-18 (A+V); trim/doors -&gt; W2-14 (H); corner bead -&gt; W2-19 (V); LED mirror/hardware/outlet purchases -&gt; W1-14 (A)</t>
  </si>
  <si>
    <t xml:space="preserve">Critical path: permits -&gt; W1-18 shower sequence -&gt; S tile (10 days) -&gt; Gino measure/fab -&gt; glass install. Stone chain: Jul 4 Martin quote -&gt; Jul 6 cabinets -&gt; field measure -&gt; 5-day fab -&gt; W3-01 install. Entry tile before pavers; pavers permit-dependent.</t>
  </si>
  <si>
    <t xml:space="preserve">PROJECT STATUS &amp; COST SUMMARY</t>
  </si>
  <si>
    <t xml:space="preserve">101 W Bayridge Dr, Weston, FL 33326 - per uploaded cost summary</t>
  </si>
  <si>
    <t xml:space="preserve">Item</t>
  </si>
  <si>
    <t xml:space="preserve">Credits</t>
  </si>
  <si>
    <t xml:space="preserve">Permit / Inspection Status</t>
  </si>
  <si>
    <t xml:space="preserve">Remaining Work</t>
  </si>
  <si>
    <t xml:space="preserve">Roofing</t>
  </si>
  <si>
    <t xml:space="preserve">Roof Replacement</t>
  </si>
  <si>
    <t xml:space="preserve">Final Inspection Pending</t>
  </si>
  <si>
    <t xml:space="preserve">None</t>
  </si>
  <si>
    <t xml:space="preserve">Windows</t>
  </si>
  <si>
    <t xml:space="preserve">Window Installation</t>
  </si>
  <si>
    <t xml:space="preserve">Decorative door panels + close-out trim</t>
  </si>
  <si>
    <t xml:space="preserve">Electrical</t>
  </si>
  <si>
    <t xml:space="preserve">Electrical Work</t>
  </si>
  <si>
    <t xml:space="preserve">Light fixtures + fans, all outlets + switches, kitchen chandelier, exterior floodlight, kitchen LED, bath exhaust fans, bathtub electrical, LED mirrors</t>
  </si>
  <si>
    <t xml:space="preserve">Final Plumbing (labor factored separately)</t>
  </si>
  <si>
    <t xml:space="preserve">~3 days labor at Victor's daily rate</t>
  </si>
  <si>
    <t xml:space="preserve">Tile Work</t>
  </si>
  <si>
    <t xml:space="preserve">Bathroom Tile Installation (labor)</t>
  </si>
  <si>
    <t xml:space="preserve">N/A</t>
  </si>
  <si>
    <t xml:space="preserve">Complete bathroom tile install, both baths; ~10 days</t>
  </si>
  <si>
    <t xml:space="preserve">Shower Glass</t>
  </si>
  <si>
    <t xml:space="preserve">Shower Glass Fabrication + Install</t>
  </si>
  <si>
    <t xml:space="preserve">Fabrication ~4 days; install 1-2 days</t>
  </si>
  <si>
    <t xml:space="preserve">Kitchen Cabinets + Bathroom Vanities</t>
  </si>
  <si>
    <t xml:space="preserve">Install by manufacturer, 1-2 days max</t>
  </si>
  <si>
    <t xml:space="preserve">Stone Countertops + Backsplash</t>
  </si>
  <si>
    <t xml:space="preserve">$50-$75/sq ft; kitchen ~35sf counter + ~25sf backsplash; bath2 ~8sf, master ~11sf; fab ~5 days; cabinets must be installed before field measure</t>
  </si>
  <si>
    <t xml:space="preserve">Appliances</t>
  </si>
  <si>
    <t xml:space="preserve">Appliance Purchase Package</t>
  </si>
  <si>
    <t xml:space="preserve">Samsung oven+micro $3,700; cooktop $650; DW $500; hood $500; disposal $250; wine cooler $450; fridge $1,800; W+D $1,250</t>
  </si>
  <si>
    <t xml:space="preserve">Landscaping</t>
  </si>
  <si>
    <t xml:space="preserve">Sprinkler System</t>
  </si>
  <si>
    <t xml:space="preserve">Check heads; verify timer, all 3 zones; replace broken pipes</t>
  </si>
  <si>
    <t xml:space="preserve">Front Yard Design</t>
  </si>
  <si>
    <t xml:space="preserve">Backyard Design</t>
  </si>
  <si>
    <t xml:space="preserve">Pending Review</t>
  </si>
  <si>
    <t xml:space="preserve">Deck proposal under consideration; permit may be required by deck size</t>
  </si>
  <si>
    <t xml:space="preserve">Side Yard Design</t>
  </si>
  <si>
    <t xml:space="preserve">Grass Installation (Front Only)</t>
  </si>
  <si>
    <t xml:space="preserve">Driveway + Walkway</t>
  </si>
  <si>
    <t xml:space="preserve">Pavers</t>
  </si>
  <si>
    <t xml:space="preserve">Permit Required</t>
  </si>
  <si>
    <t xml:space="preserve">Labor $6,200-$7,000; material ~$2,000; sealant $2,000; permit 3-5 day review; HOA 2-3 days; 2-3 days on site</t>
  </si>
  <si>
    <t xml:space="preserve">Driveway</t>
  </si>
  <si>
    <t xml:space="preserve">Asphalt Overlay</t>
  </si>
  <si>
    <t xml:space="preserve">Permit 3-5 day review; HOA 2-3 days; 2-3 days labor; no concrete walkway</t>
  </si>
  <si>
    <t xml:space="preserve">Walkway</t>
  </si>
  <si>
    <t xml:space="preserve">Tile Installation Proposal</t>
  </si>
  <si>
    <t xml:space="preserve">Material ~$600; Victor concrete repair 2 days @$300/day; root cut; leveling; tile installer 2 days $600-$800</t>
  </si>
  <si>
    <t xml:space="preserve">Drainage</t>
  </si>
  <si>
    <t xml:space="preserve">Patio Drain Inspection + Repair</t>
  </si>
  <si>
    <t xml:space="preserve">Inspect + repair drain; side drain cover; replace metal screen piece; protect adjacent tile</t>
  </si>
  <si>
    <t xml:space="preserve">HVAC</t>
  </si>
  <si>
    <t xml:space="preserve">HVAC Maintenance + Concrete Slab Repair</t>
  </si>
  <si>
    <t xml:space="preserve">Permit + Inspection Required</t>
  </si>
  <si>
    <t xml:space="preserve">Maintenance; slab under equipment needs repair; cost depends in-house vs full replace</t>
  </si>
  <si>
    <t xml:space="preserve">Garage Door</t>
  </si>
  <si>
    <t xml:space="preserve">Hurricane-Rated Garage Door Replacement</t>
  </si>
  <si>
    <t xml:space="preserve">HVHZ/wind-load compliant 16x7 insulated steel; incl. permit, removal, reinforced tracks, wind-load hardware, motor reconnect, final inspection</t>
  </si>
  <si>
    <t xml:space="preserve">TOTAL BALANCE DUE (pending items to 100% completion)</t>
  </si>
  <si>
    <t xml:space="preserve">Note: source PDF states $52,975 pending total; line items above sum higher - reconcile (likely asphalt overlay/walkway as alternates or garage door exclusion)</t>
  </si>
  <si>
    <t xml:space="preserve">PROJECT SPEND SUMMARY</t>
  </si>
  <si>
    <t xml:space="preserve">2025</t>
  </si>
  <si>
    <t xml:space="preserve">2026</t>
  </si>
  <si>
    <t xml:space="preserve">Total</t>
  </si>
  <si>
    <t xml:space="preserve">Checking account (labor + materials + utilities + HOA + services)</t>
  </si>
  <si>
    <t xml:space="preserve">Credit card (labor + materials + utilities + HOA + services)</t>
  </si>
  <si>
    <t xml:space="preserve">SUBTOTAL</t>
  </si>
  <si>
    <t xml:space="preserve">PROJECT TOTAL TO DATE</t>
  </si>
  <si>
    <t xml:space="preserve">RENOVATION SUMMARY BY CATEGORY</t>
  </si>
  <si>
    <t xml:space="preserve">101 W Bayridge Dr, Weston, FL 33326</t>
  </si>
  <si>
    <t xml:space="preserve">Items</t>
  </si>
  <si>
    <t xml:space="preserve">TOTAL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</si>
</sst>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d\ mm/dd/yy"/>
    <numFmt numFmtId="166" formatCode="0"/>
    <numFmt numFmtId="167" formatCode="0%"/>
    <numFmt numFmtId="168" formatCode="\$#,##0;&quot;($&quot;#,##0\);\-"/>
    <numFmt numFmtId="169" formatCode="General"/>
    <numFmt numFmtId="170" formatCode="\$#,##0.00;&quot;($&quot;#,##0.00\);\-"/>
    <numFmt numFmtId="171" formatCode="\$#,##0.00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sz val="10"/>
      <color rgb="FF808080"/>
      <name val="Arial"/>
      <family val="0"/>
      <charset val="1"/>
    </font>
    <font>
      <b val="true"/>
      <sz val="10"/>
      <color rgb="FF548235"/>
      <name val="Arial"/>
      <family val="0"/>
      <charset val="1"/>
    </font>
    <font>
      <u val="single"/>
      <sz val="11"/>
      <color theme="10"/>
      <name val="Calibri"/>
      <family val="2"/>
      <charset val="1"/>
    </font>
    <font>
      <b val="true"/>
      <sz val="10"/>
      <color theme="9" tint="-0.25"/>
      <name val="Arial"/>
      <family val="2"/>
      <charset val="1"/>
    </font>
    <font>
      <b val="true"/>
      <sz val="10"/>
      <color rgb="FF808080"/>
      <name val="Arial"/>
      <family val="0"/>
      <charset val="1"/>
    </font>
    <font>
      <b val="true"/>
      <sz val="10"/>
      <color rgb="FFBF8F00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name val="Arial"/>
      <family val="2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2F2F2"/>
      </patternFill>
    </fill>
    <fill>
      <patternFill patternType="solid">
        <fgColor rgb="FFC00000"/>
        <bgColor rgb="FF800000"/>
      </patternFill>
    </fill>
    <fill>
      <patternFill patternType="solid">
        <fgColor rgb="FFBF8F00"/>
        <bgColor rgb="FFE46C0A"/>
      </patternFill>
    </fill>
    <fill>
      <patternFill patternType="solid">
        <fgColor rgb="FF2E75B6"/>
        <bgColor rgb="FF0066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double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9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9" fontId="2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E46C0A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jupiter.fl.us/DocumentCenter/View/29576/Residential-AlterationsAdditions" TargetMode="External"/><Relationship Id="rId3" Type="http://schemas.openxmlformats.org/officeDocument/2006/relationships/hyperlink" Target="https://www.jupiter.fl.us/DocumentCenter/View/29560/Mechanical" TargetMode="External"/><Relationship Id="rId4" Type="http://schemas.openxmlformats.org/officeDocument/2006/relationships/hyperlink" Target="https://www.jupiter.fl.us/DocumentCenter/View/29533/Electric" TargetMode="External"/><Relationship Id="rId5" Type="http://schemas.openxmlformats.org/officeDocument/2006/relationships/hyperlink" Target="https://www.jupiter.fl.us/DocumentCenter/View/29570/Plumbing" TargetMode="External"/><Relationship Id="rId6" Type="http://schemas.openxmlformats.org/officeDocument/2006/relationships/hyperlink" Target="https://www.jupiter.fl.us/DocumentCenter/View/29536/Fences" TargetMode="External"/><Relationship Id="rId7" Type="http://schemas.openxmlformats.org/officeDocument/2006/relationships/hyperlink" Target="https://www.jupiter.fl.us/DocumentCenter/View/29523/Concrete-Slab-Patios-Decks-Pavers" TargetMode="External"/><Relationship Id="rId8" Type="http://schemas.openxmlformats.org/officeDocument/2006/relationships/hyperlink" Target="https://www.jupiter.fl.us/DocumentCenter/View/29605/Gazebo" TargetMode="External"/><Relationship Id="rId9" Type="http://schemas.openxmlformats.org/officeDocument/2006/relationships/hyperlink" Target="https://www.jupiter.fl.us/DocumentCenter/View/29545/Garage-Door-Replacement" TargetMode="External"/><Relationship Id="rId10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88"/>
  <sheetViews>
    <sheetView showFormulas="false" showGridLines="true" showRowColHeaders="true" showZeros="true" rightToLeft="false" tabSelected="true" showOutlineSymbols="true" defaultGridColor="true" view="normal" topLeftCell="A1" colorId="64" zoomScale="115" zoomScaleNormal="115" zoomScalePageLayoutView="100" workbookViewId="0">
      <pane xSplit="0" ySplit="5" topLeftCell="A30" activePane="bottomLeft" state="frozen"/>
      <selection pane="topLeft" activeCell="A1" activeCellId="0" sqref="A1"/>
      <selection pane="bottomLeft" activeCell="D39" activeCellId="0" sqref="D39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42"/>
    <col collapsed="false" customWidth="true" hidden="false" outlineLevel="0" max="5" min="5" style="0" width="12"/>
    <col collapsed="false" customWidth="true" hidden="true" outlineLevel="0" max="7" min="6" style="0" width="13"/>
    <col collapsed="false" customWidth="true" hidden="true" outlineLevel="0" max="9" min="8" style="0" width="14.78"/>
    <col collapsed="false" customWidth="true" hidden="true" outlineLevel="0" max="13" min="10" style="0" width="12"/>
    <col collapsed="false" customWidth="true" hidden="true" outlineLevel="0" max="14" min="14" style="0" width="11.11"/>
    <col collapsed="false" customWidth="true" hidden="false" outlineLevel="0" max="15" min="15" style="0" width="60"/>
  </cols>
  <sheetData>
    <row r="1" customFormat="false" ht="17.25" hidden="false" customHeight="true" outlineLevel="0" collapsed="false">
      <c r="A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</row>
    <row r="2" customFormat="false" ht="14.25" hidden="false" customHeight="false" outlineLevel="0" collapsed="false">
      <c r="A2" s="3" t="s">
        <v>6</v>
      </c>
      <c r="B2" s="3" t="s">
        <v>7</v>
      </c>
      <c r="E2" s="4" t="s">
        <v>8</v>
      </c>
      <c r="F2" s="5" t="n">
        <f aca="false">'Schedule Logic'!C3</f>
        <v>46300</v>
      </c>
    </row>
    <row r="3" customFormat="false" ht="14.25" hidden="false" customHeight="false" outlineLevel="0" collapsed="false">
      <c r="A3" s="6" t="s">
        <v>9</v>
      </c>
    </row>
    <row r="4" customFormat="false" ht="14.25" hidden="false" customHeight="false" outlineLevel="0" collapsed="false">
      <c r="A4" s="7" t="s">
        <v>10</v>
      </c>
    </row>
    <row r="5" customFormat="false" ht="14.25" hidden="false" customHeight="false" outlineLevel="0" collapsed="false">
      <c r="A5" s="8" t="s">
        <v>11</v>
      </c>
      <c r="B5" s="8" t="s">
        <v>12</v>
      </c>
      <c r="C5" s="8" t="s">
        <v>13</v>
      </c>
      <c r="D5" s="8" t="s">
        <v>14</v>
      </c>
      <c r="E5" s="8" t="s">
        <v>15</v>
      </c>
      <c r="F5" s="8" t="s">
        <v>16</v>
      </c>
      <c r="G5" s="8" t="s">
        <v>17</v>
      </c>
      <c r="H5" s="8" t="s">
        <v>18</v>
      </c>
      <c r="I5" s="8" t="s">
        <v>19</v>
      </c>
      <c r="J5" s="8" t="s">
        <v>20</v>
      </c>
      <c r="K5" s="8" t="s">
        <v>21</v>
      </c>
      <c r="L5" s="8" t="s">
        <v>22</v>
      </c>
      <c r="M5" s="8" t="s">
        <v>23</v>
      </c>
      <c r="N5" s="8" t="s">
        <v>24</v>
      </c>
      <c r="O5" s="8" t="s">
        <v>25</v>
      </c>
    </row>
    <row r="6" customFormat="false" ht="14.25" hidden="false" customHeight="false" outlineLevel="0" collapsed="false">
      <c r="A6" s="9" t="s">
        <v>26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customFormat="false" ht="26.25" hidden="false" customHeight="true" outlineLevel="0" collapsed="false">
      <c r="A7" s="10" t="n">
        <v>1</v>
      </c>
      <c r="B7" s="11" t="s">
        <v>27</v>
      </c>
      <c r="C7" s="11" t="s">
        <v>28</v>
      </c>
      <c r="D7" s="12" t="s">
        <v>29</v>
      </c>
      <c r="E7" s="13" t="s">
        <v>30</v>
      </c>
      <c r="F7" s="14" t="n">
        <f aca="false">'Schedule Logic'!G9</f>
        <v>46307</v>
      </c>
      <c r="G7" s="14" t="n">
        <f aca="false">'Schedule Logic'!H9</f>
        <v>46325</v>
      </c>
      <c r="H7" s="15" t="n">
        <f aca="false">'Schedule Logic'!I9</f>
        <v>60</v>
      </c>
      <c r="I7" s="16" t="n">
        <v>0</v>
      </c>
      <c r="J7" s="17" t="s">
        <v>31</v>
      </c>
      <c r="K7" s="18"/>
      <c r="L7" s="19"/>
      <c r="M7" s="19"/>
      <c r="N7" s="11"/>
      <c r="O7" s="12" t="s">
        <v>32</v>
      </c>
    </row>
    <row r="8" customFormat="false" ht="14.25" hidden="false" customHeight="false" outlineLevel="0" collapsed="false">
      <c r="A8" s="10" t="n">
        <v>2</v>
      </c>
      <c r="B8" s="11" t="s">
        <v>27</v>
      </c>
      <c r="C8" s="11" t="s">
        <v>28</v>
      </c>
      <c r="D8" s="12" t="s">
        <v>33</v>
      </c>
      <c r="E8" s="13" t="s">
        <v>30</v>
      </c>
      <c r="F8" s="14" t="n">
        <f aca="false">'Schedule Logic'!G7</f>
        <v>46300</v>
      </c>
      <c r="G8" s="14" t="n">
        <f aca="false">'Schedule Logic'!H7</f>
        <v>46311</v>
      </c>
      <c r="H8" s="15" t="n">
        <f aca="false">'Schedule Logic'!I7</f>
        <v>40</v>
      </c>
      <c r="I8" s="16" t="n">
        <v>0</v>
      </c>
      <c r="J8" s="17"/>
      <c r="K8" s="18"/>
      <c r="L8" s="19"/>
      <c r="M8" s="19"/>
      <c r="N8" s="11"/>
      <c r="O8" s="12" t="s">
        <v>34</v>
      </c>
    </row>
    <row r="9" customFormat="false" ht="14.25" hidden="false" customHeight="false" outlineLevel="0" collapsed="false">
      <c r="A9" s="10" t="n">
        <v>3</v>
      </c>
      <c r="B9" s="11" t="s">
        <v>27</v>
      </c>
      <c r="C9" s="11" t="s">
        <v>28</v>
      </c>
      <c r="D9" s="12" t="s">
        <v>35</v>
      </c>
      <c r="E9" s="13" t="s">
        <v>30</v>
      </c>
      <c r="F9" s="14" t="n">
        <f aca="false">'Schedule Logic'!G10</f>
        <v>46328</v>
      </c>
      <c r="G9" s="14" t="n">
        <f aca="false">'Schedule Logic'!H10</f>
        <v>46332</v>
      </c>
      <c r="H9" s="15" t="n">
        <f aca="false">'Schedule Logic'!I10</f>
        <v>6</v>
      </c>
      <c r="I9" s="16" t="n">
        <v>0</v>
      </c>
      <c r="J9" s="17"/>
      <c r="K9" s="18"/>
      <c r="L9" s="19"/>
      <c r="M9" s="19"/>
      <c r="N9" s="11"/>
      <c r="O9" s="12"/>
    </row>
    <row r="10" customFormat="false" ht="39" hidden="false" customHeight="true" outlineLevel="0" collapsed="false">
      <c r="A10" s="10"/>
      <c r="B10" s="11" t="s">
        <v>27</v>
      </c>
      <c r="C10" s="11" t="s">
        <v>28</v>
      </c>
      <c r="D10" s="12" t="s">
        <v>36</v>
      </c>
      <c r="E10" s="13" t="s">
        <v>30</v>
      </c>
      <c r="F10" s="14" t="n">
        <f aca="false">'Schedule Logic'!G11</f>
        <v>46314</v>
      </c>
      <c r="G10" s="14" t="n">
        <f aca="false">'Schedule Logic'!H11</f>
        <v>46332</v>
      </c>
      <c r="H10" s="15" t="n">
        <f aca="false">'Schedule Logic'!I11</f>
        <v>24</v>
      </c>
      <c r="I10" s="16" t="n">
        <v>0</v>
      </c>
      <c r="J10" s="17"/>
      <c r="K10" s="18"/>
      <c r="L10" s="19"/>
      <c r="M10" s="19"/>
      <c r="N10" s="11"/>
      <c r="O10" s="12" t="s">
        <v>37</v>
      </c>
    </row>
    <row r="11" customFormat="false" ht="14.25" hidden="false" customHeight="false" outlineLevel="0" collapsed="false">
      <c r="A11" s="10" t="n">
        <v>4</v>
      </c>
      <c r="B11" s="11" t="s">
        <v>27</v>
      </c>
      <c r="C11" s="11" t="s">
        <v>28</v>
      </c>
      <c r="D11" s="12" t="s">
        <v>38</v>
      </c>
      <c r="E11" s="20" t="s">
        <v>39</v>
      </c>
      <c r="F11" s="19"/>
      <c r="G11" s="19"/>
      <c r="H11" s="19"/>
      <c r="I11" s="16" t="n">
        <v>1</v>
      </c>
      <c r="J11" s="17"/>
      <c r="K11" s="18"/>
      <c r="L11" s="19"/>
      <c r="M11" s="19"/>
      <c r="N11" s="11"/>
      <c r="O11" s="12"/>
    </row>
    <row r="12" customFormat="false" ht="14.25" hidden="false" customHeight="false" outlineLevel="0" collapsed="false">
      <c r="A12" s="10" t="n">
        <v>5</v>
      </c>
      <c r="B12" s="21" t="s">
        <v>27</v>
      </c>
      <c r="C12" s="21" t="s">
        <v>28</v>
      </c>
      <c r="D12" s="22" t="s">
        <v>40</v>
      </c>
      <c r="E12" s="13" t="s">
        <v>30</v>
      </c>
      <c r="F12" s="14" t="n">
        <f aca="false">'Schedule Logic'!G12</f>
        <v>46314</v>
      </c>
      <c r="G12" s="14" t="n">
        <f aca="false">'Schedule Logic'!H12</f>
        <v>46332</v>
      </c>
      <c r="H12" s="15" t="n">
        <f aca="false">'Schedule Logic'!I12</f>
        <v>3</v>
      </c>
      <c r="I12" s="16" t="n">
        <v>0</v>
      </c>
      <c r="J12" s="23" t="s">
        <v>31</v>
      </c>
      <c r="K12" s="24"/>
      <c r="L12" s="25"/>
      <c r="M12" s="25"/>
      <c r="N12" s="21"/>
      <c r="O12" s="22"/>
    </row>
    <row r="13" customFormat="false" ht="14.25" hidden="false" customHeight="false" outlineLevel="0" collapsed="false">
      <c r="A13" s="10" t="n">
        <v>6</v>
      </c>
      <c r="B13" s="11" t="s">
        <v>27</v>
      </c>
      <c r="C13" s="11" t="s">
        <v>28</v>
      </c>
      <c r="D13" s="12" t="s">
        <v>41</v>
      </c>
      <c r="E13" s="13" t="s">
        <v>30</v>
      </c>
      <c r="F13" s="14" t="n">
        <f aca="false">'Schedule Logic'!G13</f>
        <v>46314</v>
      </c>
      <c r="G13" s="14" t="n">
        <f aca="false">'Schedule Logic'!H13</f>
        <v>46332</v>
      </c>
      <c r="H13" s="15" t="n">
        <f aca="false">'Schedule Logic'!I13</f>
        <v>3</v>
      </c>
      <c r="I13" s="16" t="n">
        <v>0</v>
      </c>
      <c r="J13" s="17" t="s">
        <v>31</v>
      </c>
      <c r="K13" s="18"/>
      <c r="L13" s="19"/>
      <c r="M13" s="19"/>
      <c r="N13" s="11"/>
      <c r="O13" s="12"/>
    </row>
    <row r="14" customFormat="false" ht="14.25" hidden="false" customHeight="false" outlineLevel="0" collapsed="false">
      <c r="A14" s="10" t="n">
        <v>7</v>
      </c>
      <c r="B14" s="21" t="s">
        <v>27</v>
      </c>
      <c r="C14" s="21" t="s">
        <v>28</v>
      </c>
      <c r="D14" s="22" t="s">
        <v>42</v>
      </c>
      <c r="E14" s="13" t="s">
        <v>30</v>
      </c>
      <c r="F14" s="14" t="n">
        <f aca="false">'Schedule Logic'!G14</f>
        <v>46314</v>
      </c>
      <c r="G14" s="14" t="n">
        <f aca="false">'Schedule Logic'!H14</f>
        <v>46332</v>
      </c>
      <c r="H14" s="15" t="n">
        <f aca="false">'Schedule Logic'!I14</f>
        <v>3</v>
      </c>
      <c r="I14" s="16" t="n">
        <v>0</v>
      </c>
      <c r="J14" s="23" t="s">
        <v>31</v>
      </c>
      <c r="K14" s="24"/>
      <c r="L14" s="25"/>
      <c r="M14" s="25"/>
      <c r="N14" s="21"/>
      <c r="O14" s="22"/>
    </row>
    <row r="15" customFormat="false" ht="14.25" hidden="false" customHeight="false" outlineLevel="0" collapsed="false">
      <c r="A15" s="10" t="n">
        <v>8</v>
      </c>
      <c r="B15" s="21" t="s">
        <v>27</v>
      </c>
      <c r="C15" s="21" t="s">
        <v>28</v>
      </c>
      <c r="D15" s="22" t="s">
        <v>43</v>
      </c>
      <c r="E15" s="13" t="s">
        <v>30</v>
      </c>
      <c r="F15" s="14" t="n">
        <f aca="false">'Schedule Logic'!G15</f>
        <v>46314</v>
      </c>
      <c r="G15" s="14" t="n">
        <f aca="false">'Schedule Logic'!H15</f>
        <v>46332</v>
      </c>
      <c r="H15" s="15" t="n">
        <f aca="false">'Schedule Logic'!I15</f>
        <v>3</v>
      </c>
      <c r="I15" s="16" t="n">
        <v>0</v>
      </c>
      <c r="J15" s="23"/>
      <c r="K15" s="24"/>
      <c r="L15" s="25"/>
      <c r="M15" s="25"/>
      <c r="N15" s="21"/>
      <c r="O15" s="22"/>
    </row>
    <row r="16" customFormat="false" ht="26.25" hidden="false" customHeight="true" outlineLevel="0" collapsed="false">
      <c r="A16" s="10" t="n">
        <v>9</v>
      </c>
      <c r="B16" s="21" t="s">
        <v>27</v>
      </c>
      <c r="C16" s="21" t="s">
        <v>28</v>
      </c>
      <c r="D16" s="22" t="s">
        <v>44</v>
      </c>
      <c r="E16" s="13" t="s">
        <v>30</v>
      </c>
      <c r="F16" s="14" t="n">
        <f aca="false">'Schedule Logic'!G8</f>
        <v>46300</v>
      </c>
      <c r="G16" s="14" t="n">
        <f aca="false">'Schedule Logic'!H8</f>
        <v>46301</v>
      </c>
      <c r="H16" s="15" t="n">
        <f aca="false">'Schedule Logic'!I8</f>
        <v>2</v>
      </c>
      <c r="I16" s="16" t="n">
        <v>0</v>
      </c>
      <c r="J16" s="23"/>
      <c r="K16" s="24"/>
      <c r="L16" s="25"/>
      <c r="M16" s="25"/>
      <c r="N16" s="21"/>
      <c r="O16" s="22" t="s">
        <v>45</v>
      </c>
    </row>
    <row r="17" customFormat="false" ht="52.5" hidden="false" customHeight="true" outlineLevel="0" collapsed="false">
      <c r="A17" s="10" t="n">
        <v>10</v>
      </c>
      <c r="B17" s="11" t="s">
        <v>27</v>
      </c>
      <c r="C17" s="11" t="s">
        <v>28</v>
      </c>
      <c r="D17" s="12" t="s">
        <v>46</v>
      </c>
      <c r="E17" s="13" t="s">
        <v>30</v>
      </c>
      <c r="F17" s="14" t="n">
        <f aca="false">'Schedule Logic'!G16</f>
        <v>46321</v>
      </c>
      <c r="G17" s="14" t="n">
        <f aca="false">'Schedule Logic'!H16</f>
        <v>46332</v>
      </c>
      <c r="H17" s="15" t="n">
        <f aca="false">'Schedule Logic'!I16</f>
        <v>6</v>
      </c>
      <c r="I17" s="16" t="n">
        <v>0</v>
      </c>
      <c r="J17" s="13"/>
      <c r="K17" s="18"/>
      <c r="L17" s="19"/>
      <c r="M17" s="19"/>
      <c r="N17" s="11"/>
      <c r="O17" s="12" t="s">
        <v>47</v>
      </c>
    </row>
    <row r="18" customFormat="false" ht="14.25" hidden="false" customHeight="false" outlineLevel="0" collapsed="false">
      <c r="A18" s="10" t="n">
        <v>11</v>
      </c>
      <c r="B18" s="11" t="s">
        <v>27</v>
      </c>
      <c r="C18" s="11" t="s">
        <v>28</v>
      </c>
      <c r="D18" s="12" t="s">
        <v>48</v>
      </c>
      <c r="E18" s="13" t="s">
        <v>30</v>
      </c>
      <c r="F18" s="14" t="n">
        <f aca="false">'Schedule Logic'!G17</f>
        <v>46321</v>
      </c>
      <c r="G18" s="14" t="n">
        <f aca="false">'Schedule Logic'!H17</f>
        <v>46332</v>
      </c>
      <c r="H18" s="15" t="n">
        <f aca="false">'Schedule Logic'!I17</f>
        <v>4</v>
      </c>
      <c r="I18" s="16" t="n">
        <v>0</v>
      </c>
      <c r="J18" s="13"/>
      <c r="K18" s="18"/>
      <c r="L18" s="19"/>
      <c r="M18" s="19"/>
      <c r="N18" s="11"/>
      <c r="O18" s="12" t="s">
        <v>49</v>
      </c>
    </row>
    <row r="19" customFormat="false" ht="14.25" hidden="false" customHeight="false" outlineLevel="0" collapsed="false">
      <c r="A19" s="10" t="n">
        <v>12</v>
      </c>
      <c r="B19" s="11" t="s">
        <v>27</v>
      </c>
      <c r="C19" s="11" t="s">
        <v>28</v>
      </c>
      <c r="D19" s="12" t="s">
        <v>50</v>
      </c>
      <c r="E19" s="13" t="s">
        <v>30</v>
      </c>
      <c r="F19" s="14" t="n">
        <f aca="false">'Schedule Logic'!G18</f>
        <v>46321</v>
      </c>
      <c r="G19" s="14" t="n">
        <f aca="false">'Schedule Logic'!H18</f>
        <v>46332</v>
      </c>
      <c r="H19" s="15" t="n">
        <f aca="false">'Schedule Logic'!I18</f>
        <v>3</v>
      </c>
      <c r="I19" s="16" t="n">
        <v>0</v>
      </c>
      <c r="J19" s="13"/>
      <c r="K19" s="18"/>
      <c r="L19" s="19"/>
      <c r="M19" s="19"/>
      <c r="N19" s="11"/>
      <c r="O19" s="12"/>
    </row>
    <row r="20" customFormat="false" ht="66" hidden="false" customHeight="true" outlineLevel="0" collapsed="false">
      <c r="A20" s="10" t="n">
        <v>13</v>
      </c>
      <c r="B20" s="11" t="s">
        <v>27</v>
      </c>
      <c r="C20" s="11" t="s">
        <v>28</v>
      </c>
      <c r="D20" s="12" t="s">
        <v>51</v>
      </c>
      <c r="E20" s="13" t="s">
        <v>30</v>
      </c>
      <c r="F20" s="14" t="n">
        <f aca="false">'Schedule Logic'!G20</f>
        <v>46339</v>
      </c>
      <c r="G20" s="14" t="n">
        <f aca="false">'Schedule Logic'!H20</f>
        <v>46343</v>
      </c>
      <c r="H20" s="15" t="n">
        <f aca="false">'Schedule Logic'!I20</f>
        <v>4</v>
      </c>
      <c r="I20" s="16" t="n">
        <v>0</v>
      </c>
      <c r="J20" s="13" t="s">
        <v>52</v>
      </c>
      <c r="K20" s="18" t="s">
        <v>53</v>
      </c>
      <c r="L20" s="19"/>
      <c r="M20" s="19"/>
      <c r="N20" s="11"/>
      <c r="O20" s="12" t="s">
        <v>54</v>
      </c>
    </row>
    <row r="21" customFormat="false" ht="26.25" hidden="false" customHeight="true" outlineLevel="0" collapsed="false">
      <c r="A21" s="10" t="n">
        <v>14</v>
      </c>
      <c r="B21" s="21" t="s">
        <v>27</v>
      </c>
      <c r="C21" s="21" t="s">
        <v>55</v>
      </c>
      <c r="D21" s="22" t="s">
        <v>56</v>
      </c>
      <c r="E21" s="13" t="s">
        <v>30</v>
      </c>
      <c r="F21" s="14" t="n">
        <f aca="false">'Schedule Logic'!G19</f>
        <v>46335</v>
      </c>
      <c r="G21" s="14" t="n">
        <f aca="false">'Schedule Logic'!H19</f>
        <v>46338</v>
      </c>
      <c r="H21" s="15" t="n">
        <f aca="false">'Schedule Logic'!I19</f>
        <v>12</v>
      </c>
      <c r="I21" s="16" t="n">
        <v>0</v>
      </c>
      <c r="J21" s="23" t="s">
        <v>31</v>
      </c>
      <c r="K21" s="24" t="s">
        <v>31</v>
      </c>
      <c r="L21" s="25"/>
      <c r="M21" s="25"/>
      <c r="N21" s="21"/>
      <c r="O21" s="22" t="s">
        <v>57</v>
      </c>
    </row>
    <row r="22" customFormat="false" ht="26.25" hidden="false" customHeight="true" outlineLevel="0" collapsed="false">
      <c r="A22" s="10" t="n">
        <v>15</v>
      </c>
      <c r="B22" s="21" t="s">
        <v>27</v>
      </c>
      <c r="C22" s="21" t="s">
        <v>55</v>
      </c>
      <c r="D22" s="22" t="s">
        <v>58</v>
      </c>
      <c r="E22" s="13" t="s">
        <v>30</v>
      </c>
      <c r="F22" s="14" t="n">
        <f aca="false">'Schedule Logic'!G21</f>
        <v>46339</v>
      </c>
      <c r="G22" s="14" t="n">
        <f aca="false">'Schedule Logic'!H21</f>
        <v>46370</v>
      </c>
      <c r="H22" s="15" t="n">
        <f aca="false">'Schedule Logic'!I21</f>
        <v>8</v>
      </c>
      <c r="I22" s="16" t="n">
        <v>0</v>
      </c>
      <c r="J22" s="23"/>
      <c r="K22" s="24"/>
      <c r="L22" s="25"/>
      <c r="M22" s="25"/>
      <c r="N22" s="21"/>
      <c r="O22" s="26" t="s">
        <v>59</v>
      </c>
    </row>
    <row r="23" customFormat="false" ht="14.25" hidden="false" customHeight="false" outlineLevel="0" collapsed="false">
      <c r="A23" s="10" t="n">
        <v>16</v>
      </c>
      <c r="B23" s="21" t="s">
        <v>27</v>
      </c>
      <c r="C23" s="21" t="s">
        <v>55</v>
      </c>
      <c r="D23" s="22" t="s">
        <v>60</v>
      </c>
      <c r="E23" s="27" t="s">
        <v>30</v>
      </c>
      <c r="F23" s="14" t="n">
        <f aca="false">'Schedule Logic'!G22</f>
        <v>46346</v>
      </c>
      <c r="G23" s="14" t="n">
        <f aca="false">'Schedule Logic'!H22</f>
        <v>46370</v>
      </c>
      <c r="H23" s="15" t="n">
        <f aca="false">'Schedule Logic'!I22</f>
        <v>4</v>
      </c>
      <c r="I23" s="16" t="n">
        <v>0</v>
      </c>
      <c r="J23" s="27" t="s">
        <v>61</v>
      </c>
      <c r="K23" s="24" t="s">
        <v>53</v>
      </c>
      <c r="L23" s="25"/>
      <c r="M23" s="25"/>
      <c r="N23" s="21"/>
      <c r="O23" s="26" t="s">
        <v>62</v>
      </c>
    </row>
    <row r="24" customFormat="false" ht="14.25" hidden="false" customHeight="false" outlineLevel="0" collapsed="false">
      <c r="A24" s="10" t="n">
        <v>17</v>
      </c>
      <c r="B24" s="11" t="s">
        <v>27</v>
      </c>
      <c r="C24" s="11" t="s">
        <v>55</v>
      </c>
      <c r="D24" s="12" t="s">
        <v>63</v>
      </c>
      <c r="E24" s="13" t="s">
        <v>30</v>
      </c>
      <c r="F24" s="14" t="n">
        <f aca="false">'Schedule Logic'!G23</f>
        <v>46346</v>
      </c>
      <c r="G24" s="14" t="n">
        <f aca="false">'Schedule Logic'!H23</f>
        <v>46370</v>
      </c>
      <c r="H24" s="15" t="n">
        <f aca="false">'Schedule Logic'!I23</f>
        <v>4</v>
      </c>
      <c r="I24" s="16" t="n">
        <v>0</v>
      </c>
      <c r="J24" s="13" t="s">
        <v>64</v>
      </c>
      <c r="K24" s="18" t="s">
        <v>53</v>
      </c>
      <c r="L24" s="19"/>
      <c r="M24" s="19"/>
      <c r="N24" s="11"/>
      <c r="O24" s="26" t="s">
        <v>65</v>
      </c>
    </row>
    <row r="25" customFormat="false" ht="14.25" hidden="false" customHeight="false" outlineLevel="0" collapsed="false">
      <c r="A25" s="10" t="n">
        <v>18</v>
      </c>
      <c r="B25" s="21" t="s">
        <v>27</v>
      </c>
      <c r="C25" s="21" t="s">
        <v>55</v>
      </c>
      <c r="D25" s="22" t="s">
        <v>66</v>
      </c>
      <c r="E25" s="27" t="s">
        <v>30</v>
      </c>
      <c r="F25" s="14" t="n">
        <f aca="false">'Schedule Logic'!G24</f>
        <v>46346</v>
      </c>
      <c r="G25" s="14" t="n">
        <f aca="false">'Schedule Logic'!H24</f>
        <v>46370</v>
      </c>
      <c r="H25" s="15" t="n">
        <f aca="false">'Schedule Logic'!I24</f>
        <v>4</v>
      </c>
      <c r="I25" s="16" t="n">
        <v>0</v>
      </c>
      <c r="J25" s="27" t="s">
        <v>67</v>
      </c>
      <c r="K25" s="24" t="s">
        <v>53</v>
      </c>
      <c r="L25" s="25"/>
      <c r="M25" s="25"/>
      <c r="N25" s="21"/>
      <c r="O25" s="26" t="s">
        <v>68</v>
      </c>
    </row>
    <row r="26" customFormat="false" ht="14.25" hidden="false" customHeight="false" outlineLevel="0" collapsed="false">
      <c r="A26" s="10" t="n">
        <v>19</v>
      </c>
      <c r="B26" s="11" t="s">
        <v>27</v>
      </c>
      <c r="C26" s="11" t="s">
        <v>55</v>
      </c>
      <c r="D26" s="12" t="s">
        <v>69</v>
      </c>
      <c r="E26" s="13" t="s">
        <v>30</v>
      </c>
      <c r="F26" s="14" t="n">
        <f aca="false">'Schedule Logic'!G25</f>
        <v>46339</v>
      </c>
      <c r="G26" s="14" t="n">
        <f aca="false">'Schedule Logic'!H25</f>
        <v>46356</v>
      </c>
      <c r="H26" s="15" t="n">
        <f aca="false">'Schedule Logic'!I25</f>
        <v>3</v>
      </c>
      <c r="I26" s="16" t="n">
        <v>0</v>
      </c>
      <c r="J26" s="13" t="s">
        <v>70</v>
      </c>
      <c r="K26" s="18" t="s">
        <v>71</v>
      </c>
      <c r="L26" s="19"/>
      <c r="M26" s="19"/>
      <c r="N26" s="11"/>
      <c r="O26" s="26" t="s">
        <v>72</v>
      </c>
    </row>
    <row r="27" customFormat="false" ht="14.25" hidden="false" customHeight="false" outlineLevel="0" collapsed="false">
      <c r="A27" s="10" t="n">
        <v>20</v>
      </c>
      <c r="B27" s="21" t="s">
        <v>27</v>
      </c>
      <c r="C27" s="21" t="s">
        <v>55</v>
      </c>
      <c r="D27" s="22" t="s">
        <v>73</v>
      </c>
      <c r="E27" s="27" t="s">
        <v>30</v>
      </c>
      <c r="F27" s="14" t="n">
        <f aca="false">'Schedule Logic'!G26</f>
        <v>46339</v>
      </c>
      <c r="G27" s="14" t="n">
        <f aca="false">'Schedule Logic'!H26</f>
        <v>46356</v>
      </c>
      <c r="H27" s="15" t="n">
        <f aca="false">'Schedule Logic'!I26</f>
        <v>3</v>
      </c>
      <c r="I27" s="16" t="n">
        <v>0</v>
      </c>
      <c r="J27" s="27" t="s">
        <v>74</v>
      </c>
      <c r="K27" s="24" t="s">
        <v>71</v>
      </c>
      <c r="L27" s="25"/>
      <c r="M27" s="25"/>
      <c r="N27" s="21"/>
      <c r="O27" s="26" t="s">
        <v>75</v>
      </c>
    </row>
    <row r="28" customFormat="false" ht="14.25" hidden="false" customHeight="false" outlineLevel="0" collapsed="false">
      <c r="A28" s="10" t="n">
        <v>21</v>
      </c>
      <c r="B28" s="21" t="s">
        <v>27</v>
      </c>
      <c r="C28" s="21" t="s">
        <v>55</v>
      </c>
      <c r="D28" s="22" t="s">
        <v>76</v>
      </c>
      <c r="E28" s="27" t="s">
        <v>30</v>
      </c>
      <c r="F28" s="14" t="n">
        <f aca="false">'Schedule Logic'!G27</f>
        <v>46339</v>
      </c>
      <c r="G28" s="14" t="n">
        <f aca="false">'Schedule Logic'!H27</f>
        <v>46356</v>
      </c>
      <c r="H28" s="15" t="n">
        <f aca="false">'Schedule Logic'!I27</f>
        <v>3</v>
      </c>
      <c r="I28" s="16" t="n">
        <v>0</v>
      </c>
      <c r="J28" s="27"/>
      <c r="K28" s="24"/>
      <c r="L28" s="25"/>
      <c r="M28" s="25"/>
      <c r="N28" s="21"/>
      <c r="O28" s="26" t="s">
        <v>77</v>
      </c>
    </row>
    <row r="29" customFormat="false" ht="14.25" hidden="false" customHeight="false" outlineLevel="0" collapsed="false">
      <c r="A29" s="10" t="n">
        <v>22</v>
      </c>
      <c r="B29" s="21" t="s">
        <v>27</v>
      </c>
      <c r="C29" s="21" t="s">
        <v>55</v>
      </c>
      <c r="D29" s="22" t="s">
        <v>78</v>
      </c>
      <c r="E29" s="27" t="s">
        <v>30</v>
      </c>
      <c r="F29" s="14" t="n">
        <f aca="false">'Schedule Logic'!G28</f>
        <v>46339</v>
      </c>
      <c r="G29" s="14" t="n">
        <f aca="false">'Schedule Logic'!H28</f>
        <v>46356</v>
      </c>
      <c r="H29" s="15" t="n">
        <f aca="false">'Schedule Logic'!I28</f>
        <v>3</v>
      </c>
      <c r="I29" s="16" t="n">
        <v>0</v>
      </c>
      <c r="J29" s="27"/>
      <c r="K29" s="24"/>
      <c r="L29" s="25"/>
      <c r="M29" s="25"/>
      <c r="N29" s="21"/>
      <c r="O29" s="26" t="s">
        <v>79</v>
      </c>
    </row>
    <row r="30" customFormat="false" ht="26.25" hidden="false" customHeight="true" outlineLevel="0" collapsed="false">
      <c r="A30" s="10" t="n">
        <v>23</v>
      </c>
      <c r="B30" s="11" t="s">
        <v>27</v>
      </c>
      <c r="C30" s="11" t="s">
        <v>28</v>
      </c>
      <c r="D30" s="12" t="s">
        <v>80</v>
      </c>
      <c r="E30" s="28" t="s">
        <v>81</v>
      </c>
      <c r="F30" s="14" t="n">
        <f aca="false">'Schedule Logic'!G29</f>
        <v>46300</v>
      </c>
      <c r="G30" s="14" t="n">
        <f aca="false">'Schedule Logic'!H29</f>
        <v>46413</v>
      </c>
      <c r="H30" s="15" t="n">
        <f aca="false">'Schedule Logic'!I29</f>
        <v>10</v>
      </c>
      <c r="I30" s="16" t="n">
        <v>0.9</v>
      </c>
      <c r="J30" s="29" t="s">
        <v>82</v>
      </c>
      <c r="K30" s="18"/>
      <c r="L30" s="19"/>
      <c r="M30" s="19"/>
      <c r="N30" s="11"/>
      <c r="O30" s="12" t="s">
        <v>83</v>
      </c>
    </row>
    <row r="31" customFormat="false" ht="14.25" hidden="false" customHeight="false" outlineLevel="0" collapsed="false">
      <c r="A31" s="10" t="n">
        <v>24</v>
      </c>
      <c r="B31" s="21" t="s">
        <v>27</v>
      </c>
      <c r="C31" s="21" t="s">
        <v>28</v>
      </c>
      <c r="D31" s="22" t="s">
        <v>84</v>
      </c>
      <c r="E31" s="28" t="s">
        <v>81</v>
      </c>
      <c r="F31" s="14" t="n">
        <f aca="false">'Schedule Logic'!G30</f>
        <v>46300</v>
      </c>
      <c r="G31" s="14" t="str">
        <f aca="false">'Schedule Logic'!H30</f>
        <v>Ongoing</v>
      </c>
      <c r="H31" s="15" t="n">
        <f aca="false">'Schedule Logic'!I30</f>
        <v>2</v>
      </c>
      <c r="I31" s="16"/>
      <c r="J31" s="23" t="s">
        <v>31</v>
      </c>
      <c r="K31" s="24"/>
      <c r="L31" s="25"/>
      <c r="M31" s="25"/>
      <c r="N31" s="21"/>
      <c r="O31" s="22" t="s">
        <v>85</v>
      </c>
    </row>
    <row r="32" customFormat="false" ht="14.25" hidden="false" customHeight="false" outlineLevel="0" collapsed="false">
      <c r="A32" s="9" t="s">
        <v>86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</row>
    <row r="33" customFormat="false" ht="26.25" hidden="false" customHeight="true" outlineLevel="0" collapsed="false">
      <c r="A33" s="30" t="n">
        <v>52</v>
      </c>
      <c r="B33" s="21" t="s">
        <v>87</v>
      </c>
      <c r="C33" s="21" t="s">
        <v>28</v>
      </c>
      <c r="D33" s="22" t="s">
        <v>88</v>
      </c>
      <c r="E33" s="31" t="s">
        <v>39</v>
      </c>
      <c r="F33" s="31"/>
      <c r="G33" s="31"/>
      <c r="H33" s="31"/>
      <c r="I33" s="32" t="n">
        <v>1</v>
      </c>
      <c r="J33" s="23" t="s">
        <v>31</v>
      </c>
      <c r="K33" s="24"/>
      <c r="L33" s="25"/>
      <c r="M33" s="25"/>
      <c r="N33" s="21"/>
      <c r="O33" s="22" t="s">
        <v>89</v>
      </c>
    </row>
    <row r="34" customFormat="false" ht="26.25" hidden="false" customHeight="true" outlineLevel="0" collapsed="false">
      <c r="A34" s="10" t="n">
        <v>54</v>
      </c>
      <c r="B34" s="11" t="s">
        <v>87</v>
      </c>
      <c r="C34" s="11" t="s">
        <v>28</v>
      </c>
      <c r="D34" s="12" t="s">
        <v>90</v>
      </c>
      <c r="E34" s="20" t="s">
        <v>39</v>
      </c>
      <c r="F34" s="33"/>
      <c r="G34" s="33"/>
      <c r="H34" s="33"/>
      <c r="I34" s="34" t="n">
        <v>1</v>
      </c>
      <c r="J34" s="13" t="s">
        <v>91</v>
      </c>
      <c r="K34" s="18" t="s">
        <v>92</v>
      </c>
      <c r="L34" s="19"/>
      <c r="M34" s="19"/>
      <c r="N34" s="11"/>
      <c r="O34" s="12"/>
    </row>
    <row r="35" customFormat="false" ht="39" hidden="false" customHeight="true" outlineLevel="0" collapsed="false">
      <c r="A35" s="30" t="s">
        <v>93</v>
      </c>
      <c r="B35" s="21" t="s">
        <v>87</v>
      </c>
      <c r="C35" s="21" t="s">
        <v>28</v>
      </c>
      <c r="D35" s="22" t="s">
        <v>94</v>
      </c>
      <c r="E35" s="27" t="s">
        <v>30</v>
      </c>
      <c r="F35" s="35" t="n">
        <f aca="false">'Schedule Logic'!G32</f>
        <v>46300</v>
      </c>
      <c r="G35" s="35" t="n">
        <f aca="false">'Schedule Logic'!H32</f>
        <v>46301</v>
      </c>
      <c r="H35" s="36" t="n">
        <f aca="false">'Schedule Logic'!I32</f>
        <v>12</v>
      </c>
      <c r="I35" s="37" t="n">
        <v>0</v>
      </c>
      <c r="J35" s="38" t="s">
        <v>31</v>
      </c>
      <c r="K35" s="24" t="s">
        <v>71</v>
      </c>
      <c r="L35" s="25"/>
      <c r="M35" s="25"/>
      <c r="N35" s="21"/>
      <c r="O35" s="22" t="s">
        <v>95</v>
      </c>
    </row>
    <row r="36" customFormat="false" ht="39" hidden="false" customHeight="true" outlineLevel="0" collapsed="false">
      <c r="A36" s="10" t="s">
        <v>96</v>
      </c>
      <c r="B36" s="11" t="s">
        <v>87</v>
      </c>
      <c r="C36" s="11" t="s">
        <v>97</v>
      </c>
      <c r="D36" s="12" t="s">
        <v>98</v>
      </c>
      <c r="E36" s="13" t="s">
        <v>30</v>
      </c>
      <c r="F36" s="39" t="n">
        <f aca="false">'Schedule Logic'!G33</f>
        <v>46300</v>
      </c>
      <c r="G36" s="39" t="n">
        <f aca="false">'Schedule Logic'!H33</f>
        <v>46309</v>
      </c>
      <c r="H36" s="40" t="n">
        <f aca="false">'Schedule Logic'!I33</f>
        <v>8</v>
      </c>
      <c r="I36" s="41" t="n">
        <v>0</v>
      </c>
      <c r="J36" s="33" t="s">
        <v>31</v>
      </c>
      <c r="K36" s="18" t="s">
        <v>99</v>
      </c>
      <c r="L36" s="19"/>
      <c r="M36" s="19"/>
      <c r="N36" s="11"/>
      <c r="O36" s="12" t="s">
        <v>100</v>
      </c>
    </row>
    <row r="37" customFormat="false" ht="23.85" hidden="false" customHeight="false" outlineLevel="0" collapsed="false">
      <c r="A37" s="30" t="n">
        <v>56</v>
      </c>
      <c r="B37" s="21" t="s">
        <v>87</v>
      </c>
      <c r="C37" s="21" t="s">
        <v>28</v>
      </c>
      <c r="D37" s="22" t="s">
        <v>101</v>
      </c>
      <c r="E37" s="31" t="s">
        <v>30</v>
      </c>
      <c r="F37" s="42" t="n">
        <f aca="false">'Schedule Logic'!G34</f>
        <v>46302</v>
      </c>
      <c r="G37" s="42" t="n">
        <f aca="false">'Schedule Logic'!H34</f>
        <v>46311</v>
      </c>
      <c r="H37" s="43" t="n">
        <f aca="false">'Schedule Logic'!I34</f>
        <v>64</v>
      </c>
      <c r="I37" s="32" t="n">
        <v>0</v>
      </c>
      <c r="J37" s="23" t="s">
        <v>31</v>
      </c>
      <c r="K37" s="24" t="s">
        <v>102</v>
      </c>
      <c r="L37" s="25"/>
      <c r="M37" s="25"/>
      <c r="N37" s="21"/>
      <c r="O37" s="22" t="s">
        <v>103</v>
      </c>
    </row>
    <row r="38" customFormat="false" ht="23.85" hidden="false" customHeight="false" outlineLevel="0" collapsed="false">
      <c r="A38" s="10" t="n">
        <v>53</v>
      </c>
      <c r="B38" s="11" t="s">
        <v>87</v>
      </c>
      <c r="C38" s="11" t="s">
        <v>28</v>
      </c>
      <c r="D38" s="12" t="s">
        <v>104</v>
      </c>
      <c r="E38" s="20" t="s">
        <v>30</v>
      </c>
      <c r="F38" s="44" t="n">
        <f aca="false">'Schedule Logic'!G35</f>
        <v>46371</v>
      </c>
      <c r="G38" s="44" t="n">
        <f aca="false">'Schedule Logic'!H35</f>
        <v>46377</v>
      </c>
      <c r="H38" s="45" t="n">
        <f aca="false">'Schedule Logic'!I35</f>
        <v>60</v>
      </c>
      <c r="I38" s="46" t="n">
        <v>0</v>
      </c>
      <c r="J38" s="17" t="s">
        <v>31</v>
      </c>
      <c r="K38" s="18" t="s">
        <v>92</v>
      </c>
      <c r="L38" s="19"/>
      <c r="M38" s="19"/>
      <c r="N38" s="11"/>
      <c r="O38" s="12" t="s">
        <v>105</v>
      </c>
    </row>
    <row r="39" customFormat="false" ht="39" hidden="false" customHeight="true" outlineLevel="0" collapsed="false">
      <c r="A39" s="30" t="s">
        <v>106</v>
      </c>
      <c r="B39" s="21" t="s">
        <v>87</v>
      </c>
      <c r="C39" s="21" t="s">
        <v>97</v>
      </c>
      <c r="D39" s="22" t="s">
        <v>107</v>
      </c>
      <c r="E39" s="27" t="s">
        <v>30</v>
      </c>
      <c r="F39" s="35" t="n">
        <f aca="false">'Schedule Logic'!G36</f>
        <v>46377</v>
      </c>
      <c r="G39" s="35" t="n">
        <f aca="false">'Schedule Logic'!H36</f>
        <v>46379</v>
      </c>
      <c r="H39" s="36" t="n">
        <f aca="false">'Schedule Logic'!I36</f>
        <v>16</v>
      </c>
      <c r="I39" s="37" t="n">
        <v>0</v>
      </c>
      <c r="J39" s="38" t="s">
        <v>31</v>
      </c>
      <c r="K39" s="24" t="s">
        <v>92</v>
      </c>
      <c r="L39" s="25"/>
      <c r="M39" s="25"/>
      <c r="N39" s="21"/>
      <c r="O39" s="22" t="s">
        <v>108</v>
      </c>
    </row>
    <row r="40" customFormat="false" ht="26.25" hidden="false" customHeight="true" outlineLevel="0" collapsed="false">
      <c r="A40" s="10" t="n">
        <v>57</v>
      </c>
      <c r="B40" s="11" t="s">
        <v>87</v>
      </c>
      <c r="C40" s="11" t="s">
        <v>28</v>
      </c>
      <c r="D40" s="12" t="s">
        <v>109</v>
      </c>
      <c r="E40" s="13" t="s">
        <v>30</v>
      </c>
      <c r="F40" s="39" t="n">
        <f aca="false">'Schedule Logic'!G37</f>
        <v>46371</v>
      </c>
      <c r="G40" s="39" t="n">
        <f aca="false">'Schedule Logic'!H37</f>
        <v>46372</v>
      </c>
      <c r="H40" s="40" t="n">
        <f aca="false">'Schedule Logic'!I37</f>
        <v>12</v>
      </c>
      <c r="I40" s="41" t="n">
        <v>0</v>
      </c>
      <c r="J40" s="13" t="s">
        <v>110</v>
      </c>
      <c r="K40" s="18" t="s">
        <v>92</v>
      </c>
      <c r="L40" s="19"/>
      <c r="M40" s="19"/>
      <c r="N40" s="11"/>
      <c r="O40" s="12" t="s">
        <v>111</v>
      </c>
    </row>
    <row r="41" customFormat="false" ht="39" hidden="false" customHeight="true" outlineLevel="0" collapsed="false">
      <c r="A41" s="30" t="s">
        <v>112</v>
      </c>
      <c r="B41" s="21" t="s">
        <v>87</v>
      </c>
      <c r="C41" s="21" t="s">
        <v>113</v>
      </c>
      <c r="D41" s="22" t="s">
        <v>114</v>
      </c>
      <c r="E41" s="27" t="s">
        <v>30</v>
      </c>
      <c r="F41" s="35" t="n">
        <f aca="false">'Schedule Logic'!G38</f>
        <v>46387</v>
      </c>
      <c r="G41" s="35" t="n">
        <f aca="false">'Schedule Logic'!H38</f>
        <v>46394</v>
      </c>
      <c r="H41" s="36" t="n">
        <f aca="false">'Schedule Logic'!I38</f>
        <v>8</v>
      </c>
      <c r="I41" s="37" t="n">
        <v>0</v>
      </c>
      <c r="J41" s="38" t="s">
        <v>31</v>
      </c>
      <c r="K41" s="24" t="s">
        <v>53</v>
      </c>
      <c r="L41" s="25"/>
      <c r="M41" s="25"/>
      <c r="N41" s="21"/>
      <c r="O41" s="22" t="s">
        <v>115</v>
      </c>
    </row>
    <row r="42" customFormat="false" ht="23.85" hidden="false" customHeight="false" outlineLevel="0" collapsed="false">
      <c r="A42" s="10"/>
      <c r="B42" s="11" t="s">
        <v>87</v>
      </c>
      <c r="C42" s="11" t="s">
        <v>28</v>
      </c>
      <c r="D42" s="12" t="s">
        <v>116</v>
      </c>
      <c r="E42" s="13" t="s">
        <v>30</v>
      </c>
      <c r="F42" s="39" t="n">
        <f aca="false">'Schedule Logic'!G39</f>
        <v>46395</v>
      </c>
      <c r="G42" s="39" t="n">
        <f aca="false">'Schedule Logic'!H39</f>
        <v>46401</v>
      </c>
      <c r="H42" s="40" t="n">
        <f aca="false">'Schedule Logic'!I39</f>
        <v>80</v>
      </c>
      <c r="I42" s="41" t="n">
        <v>0</v>
      </c>
      <c r="J42" s="33" t="s">
        <v>117</v>
      </c>
      <c r="K42" s="18" t="s">
        <v>92</v>
      </c>
      <c r="L42" s="19"/>
      <c r="M42" s="19"/>
      <c r="N42" s="11"/>
      <c r="O42" s="12" t="s">
        <v>118</v>
      </c>
    </row>
    <row r="43" customFormat="false" ht="14.25" hidden="false" customHeight="false" outlineLevel="0" collapsed="false">
      <c r="A43" s="30"/>
      <c r="B43" s="21" t="s">
        <v>87</v>
      </c>
      <c r="C43" s="21" t="s">
        <v>28</v>
      </c>
      <c r="D43" s="22" t="s">
        <v>119</v>
      </c>
      <c r="E43" s="27" t="s">
        <v>30</v>
      </c>
      <c r="F43" s="47" t="n">
        <f aca="false">'Schedule Logic'!G40</f>
        <v>46402</v>
      </c>
      <c r="G43" s="47" t="n">
        <f aca="false">'Schedule Logic'!H40</f>
        <v>46408</v>
      </c>
      <c r="H43" s="48" t="n">
        <f aca="false">'Schedule Logic'!I40</f>
        <v>60</v>
      </c>
      <c r="I43" s="49" t="n">
        <v>0</v>
      </c>
      <c r="J43" s="27" t="s">
        <v>91</v>
      </c>
      <c r="K43" s="24" t="s">
        <v>92</v>
      </c>
      <c r="L43" s="25"/>
      <c r="M43" s="25"/>
      <c r="N43" s="21"/>
      <c r="O43" s="22" t="s">
        <v>120</v>
      </c>
    </row>
    <row r="44" customFormat="false" ht="39" hidden="false" customHeight="true" outlineLevel="0" collapsed="false">
      <c r="A44" s="10" t="s">
        <v>121</v>
      </c>
      <c r="B44" s="11" t="s">
        <v>87</v>
      </c>
      <c r="C44" s="11" t="s">
        <v>28</v>
      </c>
      <c r="D44" s="12" t="s">
        <v>122</v>
      </c>
      <c r="E44" s="13" t="s">
        <v>30</v>
      </c>
      <c r="F44" s="39" t="n">
        <f aca="false">'Schedule Logic'!G41</f>
        <v>46409</v>
      </c>
      <c r="G44" s="39" t="n">
        <f aca="false">'Schedule Logic'!H41</f>
        <v>46413</v>
      </c>
      <c r="H44" s="40" t="n">
        <f aca="false">'Schedule Logic'!I41</f>
        <v>40</v>
      </c>
      <c r="I44" s="41" t="n">
        <v>0</v>
      </c>
      <c r="J44" s="33" t="s">
        <v>31</v>
      </c>
      <c r="K44" s="18" t="s">
        <v>123</v>
      </c>
      <c r="L44" s="19"/>
      <c r="M44" s="19"/>
      <c r="N44" s="11"/>
      <c r="O44" s="12" t="s">
        <v>124</v>
      </c>
    </row>
    <row r="45" customFormat="false" ht="14.25" hidden="false" customHeight="false" outlineLevel="0" collapsed="false">
      <c r="A45" s="30"/>
      <c r="B45" s="21" t="s">
        <v>87</v>
      </c>
      <c r="C45" s="21" t="s">
        <v>28</v>
      </c>
      <c r="D45" s="22" t="s">
        <v>125</v>
      </c>
      <c r="E45" s="50" t="s">
        <v>126</v>
      </c>
      <c r="F45" s="50"/>
      <c r="G45" s="50"/>
      <c r="H45" s="50"/>
      <c r="I45" s="51"/>
      <c r="J45" s="23" t="s">
        <v>31</v>
      </c>
      <c r="K45" s="24"/>
      <c r="L45" s="25"/>
      <c r="M45" s="25"/>
      <c r="N45" s="21"/>
      <c r="O45" s="22"/>
    </row>
    <row r="46" customFormat="false" ht="14.25" hidden="false" customHeight="false" outlineLevel="0" collapsed="false">
      <c r="A46" s="9" t="s">
        <v>127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</row>
    <row r="47" customFormat="false" ht="52.5" hidden="false" customHeight="true" outlineLevel="0" collapsed="false">
      <c r="A47" s="30" t="n">
        <v>59</v>
      </c>
      <c r="B47" s="21" t="s">
        <v>128</v>
      </c>
      <c r="C47" s="21" t="s">
        <v>129</v>
      </c>
      <c r="D47" s="22" t="s">
        <v>130</v>
      </c>
      <c r="E47" s="38" t="s">
        <v>81</v>
      </c>
      <c r="F47" s="47" t="n">
        <f aca="false">'Schedule Logic'!G55</f>
        <v>46300</v>
      </c>
      <c r="G47" s="47" t="n">
        <f aca="false">'Schedule Logic'!H55</f>
        <v>46448</v>
      </c>
      <c r="H47" s="48" t="str">
        <f aca="false">'Schedule Logic'!I55</f>
        <v>-</v>
      </c>
      <c r="I47" s="49"/>
      <c r="J47" s="38" t="s">
        <v>131</v>
      </c>
      <c r="K47" s="24" t="s">
        <v>102</v>
      </c>
      <c r="L47" s="25" t="n">
        <v>14000</v>
      </c>
      <c r="M47" s="25" t="n">
        <v>7000</v>
      </c>
      <c r="N47" s="21"/>
      <c r="O47" s="22" t="s">
        <v>132</v>
      </c>
    </row>
    <row r="48" customFormat="false" ht="39" hidden="false" customHeight="true" outlineLevel="0" collapsed="false">
      <c r="A48" s="10" t="s">
        <v>133</v>
      </c>
      <c r="B48" s="11" t="s">
        <v>128</v>
      </c>
      <c r="C48" s="11" t="s">
        <v>134</v>
      </c>
      <c r="D48" s="12" t="s">
        <v>135</v>
      </c>
      <c r="E48" s="13" t="s">
        <v>30</v>
      </c>
      <c r="F48" s="39" t="n">
        <f aca="false">'Schedule Logic'!G45</f>
        <v>46300</v>
      </c>
      <c r="G48" s="39" t="n">
        <f aca="false">'Schedule Logic'!H45</f>
        <v>46300</v>
      </c>
      <c r="H48" s="40" t="n">
        <f aca="false">'Schedule Logic'!I45</f>
        <v>6</v>
      </c>
      <c r="I48" s="41" t="n">
        <v>0</v>
      </c>
      <c r="J48" s="33" t="s">
        <v>31</v>
      </c>
      <c r="K48" s="18" t="s">
        <v>102</v>
      </c>
      <c r="L48" s="19"/>
      <c r="M48" s="19"/>
      <c r="N48" s="11"/>
      <c r="O48" s="12" t="s">
        <v>136</v>
      </c>
    </row>
    <row r="49" customFormat="false" ht="26.25" hidden="false" customHeight="true" outlineLevel="0" collapsed="false">
      <c r="A49" s="30" t="n">
        <v>60</v>
      </c>
      <c r="B49" s="21" t="s">
        <v>128</v>
      </c>
      <c r="C49" s="21" t="s">
        <v>134</v>
      </c>
      <c r="D49" s="22" t="s">
        <v>137</v>
      </c>
      <c r="E49" s="38" t="s">
        <v>81</v>
      </c>
      <c r="F49" s="47" t="n">
        <f aca="false">'Schedule Logic'!G46</f>
        <v>46371</v>
      </c>
      <c r="G49" s="47" t="n">
        <f aca="false">'Schedule Logic'!H46</f>
        <v>46372</v>
      </c>
      <c r="H49" s="48" t="n">
        <f aca="false">'Schedule Logic'!I46</f>
        <v>12</v>
      </c>
      <c r="I49" s="49"/>
      <c r="J49" s="27" t="s">
        <v>138</v>
      </c>
      <c r="K49" s="24" t="s">
        <v>71</v>
      </c>
      <c r="L49" s="25"/>
      <c r="M49" s="25"/>
      <c r="N49" s="21"/>
      <c r="O49" s="22" t="s">
        <v>139</v>
      </c>
    </row>
    <row r="50" customFormat="false" ht="39" hidden="false" customHeight="true" outlineLevel="0" collapsed="false">
      <c r="A50" s="10" t="s">
        <v>140</v>
      </c>
      <c r="B50" s="11" t="s">
        <v>128</v>
      </c>
      <c r="C50" s="11" t="s">
        <v>134</v>
      </c>
      <c r="D50" s="12" t="s">
        <v>141</v>
      </c>
      <c r="E50" s="13" t="s">
        <v>30</v>
      </c>
      <c r="F50" s="39" t="n">
        <f aca="false">'Schedule Logic'!G47</f>
        <v>46378</v>
      </c>
      <c r="G50" s="39" t="n">
        <f aca="false">'Schedule Logic'!H47</f>
        <v>46386</v>
      </c>
      <c r="H50" s="40" t="n">
        <f aca="false">'Schedule Logic'!I47</f>
        <v>60</v>
      </c>
      <c r="I50" s="41" t="n">
        <v>0</v>
      </c>
      <c r="J50" s="33" t="s">
        <v>31</v>
      </c>
      <c r="K50" s="18" t="s">
        <v>102</v>
      </c>
      <c r="L50" s="19"/>
      <c r="M50" s="19"/>
      <c r="N50" s="11"/>
      <c r="O50" s="12" t="s">
        <v>142</v>
      </c>
    </row>
    <row r="51" customFormat="false" ht="39" hidden="false" customHeight="true" outlineLevel="0" collapsed="false">
      <c r="A51" s="30" t="n">
        <v>61</v>
      </c>
      <c r="B51" s="21" t="s">
        <v>128</v>
      </c>
      <c r="C51" s="21" t="s">
        <v>134</v>
      </c>
      <c r="D51" s="22" t="s">
        <v>143</v>
      </c>
      <c r="E51" s="27" t="s">
        <v>30</v>
      </c>
      <c r="F51" s="35" t="n">
        <f aca="false">'Schedule Logic'!G48</f>
        <v>46443</v>
      </c>
      <c r="G51" s="35" t="n">
        <f aca="false">'Schedule Logic'!H48</f>
        <v>46447</v>
      </c>
      <c r="H51" s="36" t="n">
        <f aca="false">'Schedule Logic'!I48</f>
        <v>24</v>
      </c>
      <c r="I51" s="37" t="n">
        <v>0</v>
      </c>
      <c r="J51" s="38" t="s">
        <v>131</v>
      </c>
      <c r="K51" s="24" t="s">
        <v>102</v>
      </c>
      <c r="L51" s="25"/>
      <c r="M51" s="25"/>
      <c r="N51" s="21"/>
      <c r="O51" s="22" t="s">
        <v>144</v>
      </c>
    </row>
    <row r="52" customFormat="false" ht="14.25" hidden="false" customHeight="false" outlineLevel="0" collapsed="false">
      <c r="A52" s="10" t="n">
        <v>62</v>
      </c>
      <c r="B52" s="11" t="s">
        <v>128</v>
      </c>
      <c r="C52" s="11" t="s">
        <v>134</v>
      </c>
      <c r="D52" s="12" t="s">
        <v>145</v>
      </c>
      <c r="E52" s="33" t="s">
        <v>81</v>
      </c>
      <c r="F52" s="52" t="n">
        <f aca="false">'Schedule Logic'!G49</f>
        <v>46443</v>
      </c>
      <c r="G52" s="52" t="n">
        <f aca="false">'Schedule Logic'!H49</f>
        <v>46444</v>
      </c>
      <c r="H52" s="53" t="n">
        <f aca="false">'Schedule Logic'!I49</f>
        <v>12</v>
      </c>
      <c r="I52" s="34"/>
      <c r="J52" s="33" t="s">
        <v>131</v>
      </c>
      <c r="K52" s="18" t="s">
        <v>102</v>
      </c>
      <c r="L52" s="19"/>
      <c r="M52" s="19"/>
      <c r="N52" s="11"/>
      <c r="O52" s="12" t="s">
        <v>146</v>
      </c>
    </row>
    <row r="53" customFormat="false" ht="26.25" hidden="false" customHeight="true" outlineLevel="0" collapsed="false">
      <c r="A53" s="30" t="n">
        <v>63</v>
      </c>
      <c r="B53" s="21" t="s">
        <v>128</v>
      </c>
      <c r="C53" s="21" t="s">
        <v>134</v>
      </c>
      <c r="D53" s="22" t="s">
        <v>147</v>
      </c>
      <c r="E53" s="27" t="s">
        <v>30</v>
      </c>
      <c r="F53" s="35" t="n">
        <f aca="false">'Schedule Logic'!G50</f>
        <v>46444</v>
      </c>
      <c r="G53" s="35" t="n">
        <f aca="false">'Schedule Logic'!H50</f>
        <v>46447</v>
      </c>
      <c r="H53" s="36" t="n">
        <f aca="false">'Schedule Logic'!I50</f>
        <v>12</v>
      </c>
      <c r="I53" s="37" t="n">
        <v>0</v>
      </c>
      <c r="J53" s="38" t="s">
        <v>131</v>
      </c>
      <c r="K53" s="24" t="s">
        <v>102</v>
      </c>
      <c r="L53" s="25"/>
      <c r="M53" s="25"/>
      <c r="N53" s="21"/>
      <c r="O53" s="22" t="s">
        <v>148</v>
      </c>
    </row>
    <row r="54" customFormat="false" ht="26.25" hidden="false" customHeight="true" outlineLevel="0" collapsed="false">
      <c r="A54" s="10" t="n">
        <v>64</v>
      </c>
      <c r="B54" s="11" t="s">
        <v>128</v>
      </c>
      <c r="C54" s="11" t="s">
        <v>149</v>
      </c>
      <c r="D54" s="12" t="s">
        <v>150</v>
      </c>
      <c r="E54" s="13" t="s">
        <v>30</v>
      </c>
      <c r="F54" s="39" t="n">
        <f aca="false">'Schedule Logic'!G51</f>
        <v>46447</v>
      </c>
      <c r="G54" s="39" t="n">
        <f aca="false">'Schedule Logic'!H51</f>
        <v>46447</v>
      </c>
      <c r="H54" s="40" t="n">
        <f aca="false">'Schedule Logic'!I51</f>
        <v>3</v>
      </c>
      <c r="I54" s="41" t="n">
        <v>0</v>
      </c>
      <c r="J54" s="33" t="s">
        <v>131</v>
      </c>
      <c r="K54" s="18" t="s">
        <v>102</v>
      </c>
      <c r="L54" s="19"/>
      <c r="M54" s="19"/>
      <c r="N54" s="11"/>
      <c r="O54" s="12" t="s">
        <v>151</v>
      </c>
    </row>
    <row r="55" customFormat="false" ht="14.25" hidden="false" customHeight="false" outlineLevel="0" collapsed="false">
      <c r="A55" s="30" t="n">
        <v>65</v>
      </c>
      <c r="B55" s="21" t="s">
        <v>128</v>
      </c>
      <c r="C55" s="21" t="s">
        <v>152</v>
      </c>
      <c r="D55" s="22" t="s">
        <v>153</v>
      </c>
      <c r="E55" s="27" t="s">
        <v>30</v>
      </c>
      <c r="F55" s="35" t="n">
        <f aca="false">'Schedule Logic'!G52</f>
        <v>46448</v>
      </c>
      <c r="G55" s="35" t="n">
        <f aca="false">'Schedule Logic'!H52</f>
        <v>46448</v>
      </c>
      <c r="H55" s="36" t="n">
        <f aca="false">'Schedule Logic'!I52</f>
        <v>4</v>
      </c>
      <c r="I55" s="37" t="n">
        <v>0</v>
      </c>
      <c r="J55" s="54" t="s">
        <v>154</v>
      </c>
      <c r="K55" s="24" t="s">
        <v>92</v>
      </c>
      <c r="L55" s="25"/>
      <c r="M55" s="25"/>
      <c r="N55" s="21"/>
      <c r="O55" s="22" t="s">
        <v>155</v>
      </c>
    </row>
    <row r="56" customFormat="false" ht="26.25" hidden="false" customHeight="true" outlineLevel="0" collapsed="false">
      <c r="A56" s="10" t="n">
        <v>66</v>
      </c>
      <c r="B56" s="11" t="s">
        <v>128</v>
      </c>
      <c r="C56" s="11" t="s">
        <v>134</v>
      </c>
      <c r="D56" s="12" t="s">
        <v>156</v>
      </c>
      <c r="E56" s="13" t="s">
        <v>30</v>
      </c>
      <c r="F56" s="39" t="n">
        <f aca="false">'Schedule Logic'!G53</f>
        <v>46448</v>
      </c>
      <c r="G56" s="39" t="n">
        <f aca="false">'Schedule Logic'!H53</f>
        <v>46448</v>
      </c>
      <c r="H56" s="40" t="n">
        <f aca="false">'Schedule Logic'!I53</f>
        <v>4</v>
      </c>
      <c r="I56" s="41" t="n">
        <v>0</v>
      </c>
      <c r="J56" s="13" t="s">
        <v>157</v>
      </c>
      <c r="K56" s="18" t="s">
        <v>158</v>
      </c>
      <c r="L56" s="19"/>
      <c r="M56" s="19"/>
      <c r="N56" s="11"/>
      <c r="O56" s="12" t="s">
        <v>159</v>
      </c>
    </row>
    <row r="57" customFormat="false" ht="14.25" hidden="false" customHeight="false" outlineLevel="0" collapsed="false">
      <c r="A57" s="30" t="n">
        <v>67</v>
      </c>
      <c r="B57" s="21" t="s">
        <v>128</v>
      </c>
      <c r="C57" s="21" t="s">
        <v>134</v>
      </c>
      <c r="D57" s="22" t="s">
        <v>160</v>
      </c>
      <c r="E57" s="27" t="s">
        <v>30</v>
      </c>
      <c r="F57" s="35" t="n">
        <f aca="false">'Schedule Logic'!G54</f>
        <v>46448</v>
      </c>
      <c r="G57" s="35" t="n">
        <f aca="false">'Schedule Logic'!H54</f>
        <v>46448</v>
      </c>
      <c r="H57" s="36" t="n">
        <f aca="false">'Schedule Logic'!I54</f>
        <v>2</v>
      </c>
      <c r="I57" s="37" t="n">
        <v>0</v>
      </c>
      <c r="J57" s="38" t="s">
        <v>131</v>
      </c>
      <c r="K57" s="24" t="s">
        <v>102</v>
      </c>
      <c r="L57" s="25"/>
      <c r="M57" s="25"/>
      <c r="N57" s="21"/>
      <c r="O57" s="22"/>
    </row>
    <row r="58" customFormat="false" ht="14.25" hidden="false" customHeight="false" outlineLevel="0" collapsed="false">
      <c r="A58" s="9" t="s">
        <v>161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</row>
    <row r="59" customFormat="false" ht="39" hidden="false" customHeight="true" outlineLevel="0" collapsed="false">
      <c r="A59" s="30" t="n">
        <v>68</v>
      </c>
      <c r="B59" s="21" t="s">
        <v>162</v>
      </c>
      <c r="C59" s="21" t="s">
        <v>134</v>
      </c>
      <c r="D59" s="22" t="s">
        <v>163</v>
      </c>
      <c r="E59" s="31" t="s">
        <v>39</v>
      </c>
      <c r="F59" s="31"/>
      <c r="G59" s="31"/>
      <c r="H59" s="31"/>
      <c r="I59" s="32" t="n">
        <v>1</v>
      </c>
      <c r="J59" s="23" t="s">
        <v>31</v>
      </c>
      <c r="K59" s="24"/>
      <c r="L59" s="25"/>
      <c r="M59" s="25"/>
      <c r="N59" s="21"/>
      <c r="O59" s="22" t="s">
        <v>164</v>
      </c>
    </row>
    <row r="60" customFormat="false" ht="39" hidden="false" customHeight="true" outlineLevel="0" collapsed="false">
      <c r="A60" s="10" t="s">
        <v>165</v>
      </c>
      <c r="B60" s="11" t="s">
        <v>162</v>
      </c>
      <c r="C60" s="11" t="s">
        <v>134</v>
      </c>
      <c r="D60" s="12" t="s">
        <v>166</v>
      </c>
      <c r="E60" s="13" t="s">
        <v>30</v>
      </c>
      <c r="F60" s="39" t="n">
        <f aca="false">'Schedule Logic'!G57</f>
        <v>46371</v>
      </c>
      <c r="G60" s="39" t="n">
        <f aca="false">'Schedule Logic'!H57</f>
        <v>46374</v>
      </c>
      <c r="H60" s="40" t="n">
        <f aca="false">'Schedule Logic'!I57</f>
        <v>32</v>
      </c>
      <c r="I60" s="41" t="n">
        <v>0</v>
      </c>
      <c r="J60" s="33" t="s">
        <v>31</v>
      </c>
      <c r="K60" s="18" t="s">
        <v>92</v>
      </c>
      <c r="L60" s="19"/>
      <c r="M60" s="19"/>
      <c r="N60" s="11"/>
      <c r="O60" s="12" t="s">
        <v>167</v>
      </c>
    </row>
    <row r="61" customFormat="false" ht="39" hidden="false" customHeight="true" outlineLevel="0" collapsed="false">
      <c r="A61" s="30" t="s">
        <v>168</v>
      </c>
      <c r="B61" s="21" t="s">
        <v>162</v>
      </c>
      <c r="C61" s="21" t="s">
        <v>134</v>
      </c>
      <c r="D61" s="22" t="s">
        <v>169</v>
      </c>
      <c r="E61" s="27" t="s">
        <v>30</v>
      </c>
      <c r="F61" s="35" t="n">
        <f aca="false">'Schedule Logic'!G58</f>
        <v>46384</v>
      </c>
      <c r="G61" s="35" t="n">
        <f aca="false">'Schedule Logic'!H58</f>
        <v>46386</v>
      </c>
      <c r="H61" s="36" t="n">
        <f aca="false">'Schedule Logic'!I58</f>
        <v>24</v>
      </c>
      <c r="I61" s="37" t="n">
        <v>0</v>
      </c>
      <c r="J61" s="38" t="s">
        <v>31</v>
      </c>
      <c r="K61" s="24" t="s">
        <v>92</v>
      </c>
      <c r="L61" s="25"/>
      <c r="M61" s="25"/>
      <c r="N61" s="21"/>
      <c r="O61" s="22" t="s">
        <v>170</v>
      </c>
    </row>
    <row r="62" customFormat="false" ht="26.25" hidden="false" customHeight="true" outlineLevel="0" collapsed="false">
      <c r="A62" s="10" t="n">
        <v>71</v>
      </c>
      <c r="B62" s="11" t="s">
        <v>162</v>
      </c>
      <c r="C62" s="11" t="s">
        <v>134</v>
      </c>
      <c r="D62" s="12" t="s">
        <v>171</v>
      </c>
      <c r="E62" s="13" t="s">
        <v>30</v>
      </c>
      <c r="F62" s="39" t="n">
        <f aca="false">'Schedule Logic'!G59</f>
        <v>46387</v>
      </c>
      <c r="G62" s="39" t="n">
        <f aca="false">'Schedule Logic'!H59</f>
        <v>46391</v>
      </c>
      <c r="H62" s="40" t="n">
        <f aca="false">'Schedule Logic'!I59</f>
        <v>6</v>
      </c>
      <c r="I62" s="41" t="n">
        <v>0</v>
      </c>
      <c r="J62" s="33" t="s">
        <v>172</v>
      </c>
      <c r="K62" s="18" t="s">
        <v>92</v>
      </c>
      <c r="L62" s="19"/>
      <c r="M62" s="19"/>
      <c r="N62" s="11"/>
      <c r="O62" s="12" t="s">
        <v>173</v>
      </c>
    </row>
    <row r="63" customFormat="false" ht="23.85" hidden="false" customHeight="false" outlineLevel="0" collapsed="false">
      <c r="A63" s="30" t="n">
        <v>69</v>
      </c>
      <c r="B63" s="21" t="s">
        <v>162</v>
      </c>
      <c r="C63" s="21" t="s">
        <v>129</v>
      </c>
      <c r="D63" s="22" t="s">
        <v>174</v>
      </c>
      <c r="E63" s="27" t="s">
        <v>30</v>
      </c>
      <c r="F63" s="35" t="n">
        <f aca="false">'Schedule Logic'!G60</f>
        <v>46443</v>
      </c>
      <c r="G63" s="35" t="n">
        <f aca="false">'Schedule Logic'!H60</f>
        <v>46447</v>
      </c>
      <c r="H63" s="36" t="n">
        <f aca="false">'Schedule Logic'!I60</f>
        <v>24</v>
      </c>
      <c r="I63" s="37" t="n">
        <v>0</v>
      </c>
      <c r="J63" s="38" t="s">
        <v>172</v>
      </c>
      <c r="K63" s="24" t="s">
        <v>92</v>
      </c>
      <c r="L63" s="25"/>
      <c r="M63" s="25" t="n">
        <v>1500</v>
      </c>
      <c r="N63" s="21" t="s">
        <v>175</v>
      </c>
      <c r="O63" s="22" t="s">
        <v>176</v>
      </c>
    </row>
    <row r="64" customFormat="false" ht="14.25" hidden="false" customHeight="false" outlineLevel="0" collapsed="false">
      <c r="A64" s="10" t="n">
        <v>72</v>
      </c>
      <c r="B64" s="11" t="s">
        <v>162</v>
      </c>
      <c r="C64" s="11" t="s">
        <v>134</v>
      </c>
      <c r="D64" s="12" t="s">
        <v>177</v>
      </c>
      <c r="E64" s="13" t="s">
        <v>30</v>
      </c>
      <c r="F64" s="39" t="n">
        <f aca="false">'Schedule Logic'!G61</f>
        <v>46443</v>
      </c>
      <c r="G64" s="39" t="n">
        <f aca="false">'Schedule Logic'!H61</f>
        <v>46444</v>
      </c>
      <c r="H64" s="40" t="n">
        <f aca="false">'Schedule Logic'!I61</f>
        <v>8</v>
      </c>
      <c r="I64" s="41" t="n">
        <v>0</v>
      </c>
      <c r="J64" s="33" t="s">
        <v>172</v>
      </c>
      <c r="K64" s="18" t="s">
        <v>92</v>
      </c>
      <c r="L64" s="19"/>
      <c r="M64" s="19"/>
      <c r="N64" s="11"/>
      <c r="O64" s="12"/>
    </row>
    <row r="65" customFormat="false" ht="14.25" hidden="false" customHeight="false" outlineLevel="0" collapsed="false">
      <c r="A65" s="30" t="n">
        <v>70</v>
      </c>
      <c r="B65" s="21" t="s">
        <v>162</v>
      </c>
      <c r="C65" s="21" t="s">
        <v>134</v>
      </c>
      <c r="D65" s="22" t="s">
        <v>178</v>
      </c>
      <c r="E65" s="50" t="s">
        <v>126</v>
      </c>
      <c r="F65" s="50"/>
      <c r="G65" s="50"/>
      <c r="H65" s="50"/>
      <c r="I65" s="51"/>
      <c r="J65" s="23" t="s">
        <v>31</v>
      </c>
      <c r="K65" s="24"/>
      <c r="L65" s="25"/>
      <c r="M65" s="25"/>
      <c r="N65" s="21"/>
      <c r="O65" s="22" t="s">
        <v>179</v>
      </c>
    </row>
    <row r="66" customFormat="false" ht="14.25" hidden="false" customHeight="false" outlineLevel="0" collapsed="false">
      <c r="A66" s="9" t="s">
        <v>180</v>
      </c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6"/>
    </row>
    <row r="67" customFormat="false" ht="14.25" hidden="false" customHeight="false" outlineLevel="0" collapsed="false">
      <c r="A67" s="30" t="n">
        <v>73</v>
      </c>
      <c r="B67" s="21" t="s">
        <v>181</v>
      </c>
      <c r="C67" s="21" t="s">
        <v>134</v>
      </c>
      <c r="D67" s="22" t="s">
        <v>182</v>
      </c>
      <c r="E67" s="50" t="s">
        <v>126</v>
      </c>
      <c r="F67" s="50"/>
      <c r="G67" s="50"/>
      <c r="H67" s="50"/>
      <c r="I67" s="51"/>
      <c r="J67" s="23" t="s">
        <v>31</v>
      </c>
      <c r="K67" s="24"/>
      <c r="L67" s="25"/>
      <c r="M67" s="25"/>
      <c r="N67" s="21"/>
      <c r="O67" s="22" t="s">
        <v>183</v>
      </c>
    </row>
    <row r="68" customFormat="false" ht="39" hidden="false" customHeight="true" outlineLevel="0" collapsed="false">
      <c r="A68" s="10" t="n">
        <v>74</v>
      </c>
      <c r="B68" s="11" t="s">
        <v>181</v>
      </c>
      <c r="C68" s="11" t="s">
        <v>129</v>
      </c>
      <c r="D68" s="12" t="s">
        <v>184</v>
      </c>
      <c r="E68" s="13" t="s">
        <v>30</v>
      </c>
      <c r="F68" s="39" t="n">
        <f aca="false">'Schedule Logic'!G69</f>
        <v>46371</v>
      </c>
      <c r="G68" s="39" t="n">
        <f aca="false">'Schedule Logic'!H69</f>
        <v>46415</v>
      </c>
      <c r="H68" s="40" t="str">
        <f aca="false">'Schedule Logic'!I69</f>
        <v>-</v>
      </c>
      <c r="I68" s="41" t="n">
        <v>0</v>
      </c>
      <c r="J68" s="13" t="s">
        <v>110</v>
      </c>
      <c r="K68" s="18" t="s">
        <v>99</v>
      </c>
      <c r="L68" s="19" t="n">
        <v>2100</v>
      </c>
      <c r="M68" s="19" t="n">
        <v>2000</v>
      </c>
      <c r="N68" s="11"/>
      <c r="O68" s="12" t="s">
        <v>185</v>
      </c>
    </row>
    <row r="69" customFormat="false" ht="39" hidden="false" customHeight="true" outlineLevel="0" collapsed="false">
      <c r="A69" s="30" t="s">
        <v>186</v>
      </c>
      <c r="B69" s="21" t="s">
        <v>181</v>
      </c>
      <c r="C69" s="21" t="s">
        <v>134</v>
      </c>
      <c r="D69" s="22" t="s">
        <v>187</v>
      </c>
      <c r="E69" s="27" t="s">
        <v>30</v>
      </c>
      <c r="F69" s="35" t="n">
        <f aca="false">'Schedule Logic'!G63</f>
        <v>46378</v>
      </c>
      <c r="G69" s="35" t="n">
        <f aca="false">'Schedule Logic'!H63</f>
        <v>46384</v>
      </c>
      <c r="H69" s="36" t="n">
        <f aca="false">'Schedule Logic'!I63</f>
        <v>24</v>
      </c>
      <c r="I69" s="37" t="n">
        <v>0</v>
      </c>
      <c r="J69" s="38" t="s">
        <v>31</v>
      </c>
      <c r="K69" s="24" t="s">
        <v>102</v>
      </c>
      <c r="L69" s="25"/>
      <c r="M69" s="25"/>
      <c r="N69" s="21"/>
      <c r="O69" s="22" t="s">
        <v>188</v>
      </c>
    </row>
    <row r="70" customFormat="false" ht="23.85" hidden="false" customHeight="false" outlineLevel="0" collapsed="false">
      <c r="A70" s="10" t="n">
        <v>77</v>
      </c>
      <c r="B70" s="11" t="s">
        <v>181</v>
      </c>
      <c r="C70" s="11" t="s">
        <v>134</v>
      </c>
      <c r="D70" s="12" t="s">
        <v>189</v>
      </c>
      <c r="E70" s="13" t="s">
        <v>30</v>
      </c>
      <c r="F70" s="39" t="n">
        <f aca="false">'Schedule Logic'!G64</f>
        <v>46414</v>
      </c>
      <c r="G70" s="39" t="n">
        <f aca="false">'Schedule Logic'!H64</f>
        <v>46415</v>
      </c>
      <c r="H70" s="40" t="n">
        <f aca="false">'Schedule Logic'!I64</f>
        <v>16</v>
      </c>
      <c r="I70" s="41" t="n">
        <v>0</v>
      </c>
      <c r="J70" s="13" t="s">
        <v>110</v>
      </c>
      <c r="K70" s="18" t="s">
        <v>102</v>
      </c>
      <c r="L70" s="19"/>
      <c r="M70" s="19"/>
      <c r="N70" s="11"/>
      <c r="O70" s="12" t="s">
        <v>190</v>
      </c>
    </row>
    <row r="71" customFormat="false" ht="14.25" hidden="false" customHeight="false" outlineLevel="0" collapsed="false">
      <c r="A71" s="30" t="n">
        <v>75</v>
      </c>
      <c r="B71" s="21" t="s">
        <v>181</v>
      </c>
      <c r="C71" s="21" t="s">
        <v>134</v>
      </c>
      <c r="D71" s="22" t="s">
        <v>191</v>
      </c>
      <c r="E71" s="27" t="s">
        <v>30</v>
      </c>
      <c r="F71" s="35" t="n">
        <f aca="false">'Schedule Logic'!G65</f>
        <v>46414</v>
      </c>
      <c r="G71" s="35" t="n">
        <f aca="false">'Schedule Logic'!H65</f>
        <v>46414</v>
      </c>
      <c r="H71" s="36" t="n">
        <f aca="false">'Schedule Logic'!I65</f>
        <v>4</v>
      </c>
      <c r="I71" s="37" t="n">
        <v>0</v>
      </c>
      <c r="J71" s="27" t="s">
        <v>110</v>
      </c>
      <c r="K71" s="24" t="s">
        <v>102</v>
      </c>
      <c r="L71" s="25"/>
      <c r="M71" s="25"/>
      <c r="N71" s="21"/>
      <c r="O71" s="22" t="s">
        <v>192</v>
      </c>
    </row>
    <row r="72" customFormat="false" ht="14.25" hidden="false" customHeight="false" outlineLevel="0" collapsed="false">
      <c r="A72" s="10" t="n">
        <v>76</v>
      </c>
      <c r="B72" s="11" t="s">
        <v>181</v>
      </c>
      <c r="C72" s="11" t="s">
        <v>134</v>
      </c>
      <c r="D72" s="12" t="s">
        <v>193</v>
      </c>
      <c r="E72" s="13" t="s">
        <v>30</v>
      </c>
      <c r="F72" s="39" t="n">
        <f aca="false">'Schedule Logic'!G66</f>
        <v>46414</v>
      </c>
      <c r="G72" s="39" t="n">
        <f aca="false">'Schedule Logic'!H66</f>
        <v>46414</v>
      </c>
      <c r="H72" s="40" t="n">
        <f aca="false">'Schedule Logic'!I66</f>
        <v>3</v>
      </c>
      <c r="I72" s="41" t="n">
        <v>0</v>
      </c>
      <c r="J72" s="13" t="s">
        <v>110</v>
      </c>
      <c r="K72" s="18" t="s">
        <v>102</v>
      </c>
      <c r="L72" s="19"/>
      <c r="M72" s="19"/>
      <c r="N72" s="11"/>
      <c r="O72" s="12" t="s">
        <v>192</v>
      </c>
    </row>
    <row r="73" customFormat="false" ht="14.25" hidden="false" customHeight="false" outlineLevel="0" collapsed="false">
      <c r="A73" s="30" t="n">
        <v>78</v>
      </c>
      <c r="B73" s="21" t="s">
        <v>181</v>
      </c>
      <c r="C73" s="21" t="s">
        <v>134</v>
      </c>
      <c r="D73" s="22" t="s">
        <v>194</v>
      </c>
      <c r="E73" s="27" t="s">
        <v>30</v>
      </c>
      <c r="F73" s="35" t="n">
        <f aca="false">'Schedule Logic'!G67</f>
        <v>46443</v>
      </c>
      <c r="G73" s="35" t="n">
        <f aca="false">'Schedule Logic'!H67</f>
        <v>46443</v>
      </c>
      <c r="H73" s="36" t="n">
        <f aca="false">'Schedule Logic'!I67</f>
        <v>4</v>
      </c>
      <c r="I73" s="37" t="n">
        <v>0</v>
      </c>
      <c r="J73" s="27" t="s">
        <v>157</v>
      </c>
      <c r="K73" s="24" t="s">
        <v>53</v>
      </c>
      <c r="L73" s="25"/>
      <c r="M73" s="25"/>
      <c r="N73" s="21"/>
      <c r="O73" s="22" t="s">
        <v>195</v>
      </c>
    </row>
    <row r="74" customFormat="false" ht="26.25" hidden="false" customHeight="true" outlineLevel="0" collapsed="false">
      <c r="A74" s="10" t="n">
        <v>79</v>
      </c>
      <c r="B74" s="11" t="s">
        <v>181</v>
      </c>
      <c r="C74" s="11" t="s">
        <v>134</v>
      </c>
      <c r="D74" s="12" t="s">
        <v>196</v>
      </c>
      <c r="E74" s="13" t="s">
        <v>30</v>
      </c>
      <c r="F74" s="39" t="n">
        <f aca="false">'Schedule Logic'!G68</f>
        <v>46443</v>
      </c>
      <c r="G74" s="39" t="n">
        <f aca="false">'Schedule Logic'!H68</f>
        <v>46443</v>
      </c>
      <c r="H74" s="40" t="n">
        <f aca="false">'Schedule Logic'!I68</f>
        <v>2</v>
      </c>
      <c r="I74" s="41" t="n">
        <v>0</v>
      </c>
      <c r="J74" s="13" t="s">
        <v>157</v>
      </c>
      <c r="K74" s="18" t="s">
        <v>92</v>
      </c>
      <c r="L74" s="19"/>
      <c r="M74" s="19"/>
      <c r="N74" s="11"/>
      <c r="O74" s="12" t="s">
        <v>197</v>
      </c>
    </row>
    <row r="75" customFormat="false" ht="14.25" hidden="false" customHeight="false" outlineLevel="0" collapsed="false">
      <c r="A75" s="9" t="s">
        <v>198</v>
      </c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6"/>
    </row>
    <row r="76" customFormat="false" ht="39" hidden="false" customHeight="true" outlineLevel="0" collapsed="false">
      <c r="A76" s="30" t="s">
        <v>199</v>
      </c>
      <c r="B76" s="21" t="s">
        <v>200</v>
      </c>
      <c r="C76" s="21" t="s">
        <v>201</v>
      </c>
      <c r="D76" s="22" t="s">
        <v>202</v>
      </c>
      <c r="E76" s="27" t="s">
        <v>30</v>
      </c>
      <c r="F76" s="35" t="n">
        <f aca="false">'Schedule Logic'!G71</f>
        <v>46378</v>
      </c>
      <c r="G76" s="35" t="n">
        <f aca="false">'Schedule Logic'!H71</f>
        <v>46408</v>
      </c>
      <c r="H76" s="36" t="n">
        <f aca="false">'Schedule Logic'!I71</f>
        <v>6</v>
      </c>
      <c r="I76" s="37" t="n">
        <v>0</v>
      </c>
      <c r="J76" s="38" t="s">
        <v>31</v>
      </c>
      <c r="K76" s="24" t="s">
        <v>53</v>
      </c>
      <c r="L76" s="25"/>
      <c r="M76" s="25"/>
      <c r="N76" s="21"/>
      <c r="O76" s="22" t="s">
        <v>203</v>
      </c>
    </row>
    <row r="77" customFormat="false" ht="39" hidden="false" customHeight="true" outlineLevel="0" collapsed="false">
      <c r="A77" s="10" t="n">
        <v>80</v>
      </c>
      <c r="B77" s="11" t="s">
        <v>200</v>
      </c>
      <c r="C77" s="11" t="s">
        <v>201</v>
      </c>
      <c r="D77" s="12" t="s">
        <v>204</v>
      </c>
      <c r="E77" s="33" t="s">
        <v>81</v>
      </c>
      <c r="F77" s="52" t="n">
        <f aca="false">'Schedule Logic'!G72</f>
        <v>46414</v>
      </c>
      <c r="G77" s="52" t="n">
        <f aca="false">'Schedule Logic'!H72</f>
        <v>46415</v>
      </c>
      <c r="H77" s="53" t="n">
        <f aca="false">'Schedule Logic'!I72</f>
        <v>16</v>
      </c>
      <c r="I77" s="34"/>
      <c r="J77" s="13" t="s">
        <v>205</v>
      </c>
      <c r="K77" s="18" t="s">
        <v>71</v>
      </c>
      <c r="L77" s="19" t="n">
        <v>21750</v>
      </c>
      <c r="M77" s="19" t="n">
        <v>4875</v>
      </c>
      <c r="N77" s="11" t="s">
        <v>206</v>
      </c>
      <c r="O77" s="12" t="s">
        <v>207</v>
      </c>
    </row>
    <row r="78" customFormat="false" ht="118.5" hidden="false" customHeight="true" outlineLevel="0" collapsed="false">
      <c r="A78" s="30" t="n">
        <v>81</v>
      </c>
      <c r="B78" s="21" t="s">
        <v>200</v>
      </c>
      <c r="C78" s="21" t="s">
        <v>208</v>
      </c>
      <c r="D78" s="22" t="s">
        <v>209</v>
      </c>
      <c r="E78" s="27" t="s">
        <v>30</v>
      </c>
      <c r="F78" s="35" t="n">
        <f aca="false">'Schedule Logic'!G73</f>
        <v>46416</v>
      </c>
      <c r="G78" s="35" t="n">
        <f aca="false">'Schedule Logic'!H73</f>
        <v>46427</v>
      </c>
      <c r="H78" s="36" t="n">
        <f aca="false">'Schedule Logic'!I73</f>
        <v>12</v>
      </c>
      <c r="I78" s="37" t="n">
        <v>0</v>
      </c>
      <c r="J78" s="27" t="s">
        <v>210</v>
      </c>
      <c r="K78" s="24" t="s">
        <v>211</v>
      </c>
      <c r="L78" s="25" t="n">
        <v>5925</v>
      </c>
      <c r="M78" s="25" t="n">
        <v>4500</v>
      </c>
      <c r="N78" s="21" t="s">
        <v>212</v>
      </c>
      <c r="O78" s="22" t="s">
        <v>213</v>
      </c>
    </row>
    <row r="79" customFormat="false" ht="14.25" hidden="false" customHeight="false" outlineLevel="0" collapsed="false">
      <c r="A79" s="10" t="n">
        <v>82</v>
      </c>
      <c r="B79" s="11" t="s">
        <v>200</v>
      </c>
      <c r="C79" s="11" t="s">
        <v>200</v>
      </c>
      <c r="D79" s="12" t="s">
        <v>214</v>
      </c>
      <c r="E79" s="13" t="s">
        <v>30</v>
      </c>
      <c r="F79" s="39" t="n">
        <f aca="false">'Schedule Logic'!G74</f>
        <v>46387</v>
      </c>
      <c r="G79" s="39" t="n">
        <f aca="false">'Schedule Logic'!H74</f>
        <v>46394</v>
      </c>
      <c r="H79" s="40" t="n">
        <f aca="false">'Schedule Logic'!I74</f>
        <v>3</v>
      </c>
      <c r="I79" s="41" t="n">
        <v>0</v>
      </c>
      <c r="J79" s="13" t="s">
        <v>215</v>
      </c>
      <c r="K79" s="18" t="s">
        <v>53</v>
      </c>
      <c r="L79" s="19"/>
      <c r="M79" s="19"/>
      <c r="N79" s="11"/>
      <c r="O79" s="12"/>
    </row>
    <row r="80" customFormat="false" ht="26.25" hidden="false" customHeight="true" outlineLevel="0" collapsed="false">
      <c r="A80" s="30" t="n">
        <v>83</v>
      </c>
      <c r="B80" s="21" t="s">
        <v>200</v>
      </c>
      <c r="C80" s="21" t="s">
        <v>200</v>
      </c>
      <c r="D80" s="22" t="s">
        <v>216</v>
      </c>
      <c r="E80" s="27" t="s">
        <v>30</v>
      </c>
      <c r="F80" s="35" t="n">
        <f aca="false">'Schedule Logic'!G75</f>
        <v>46387</v>
      </c>
      <c r="G80" s="35" t="n">
        <f aca="false">'Schedule Logic'!H75</f>
        <v>46394</v>
      </c>
      <c r="H80" s="36" t="n">
        <f aca="false">'Schedule Logic'!I75</f>
        <v>2</v>
      </c>
      <c r="I80" s="37" t="n">
        <v>0</v>
      </c>
      <c r="J80" s="27" t="s">
        <v>215</v>
      </c>
      <c r="K80" s="24" t="s">
        <v>158</v>
      </c>
      <c r="L80" s="25"/>
      <c r="M80" s="25"/>
      <c r="N80" s="21"/>
      <c r="O80" s="22" t="s">
        <v>217</v>
      </c>
    </row>
    <row r="81" customFormat="false" ht="92.25" hidden="false" customHeight="true" outlineLevel="0" collapsed="false">
      <c r="A81" s="10" t="n">
        <v>84</v>
      </c>
      <c r="B81" s="11" t="s">
        <v>200</v>
      </c>
      <c r="C81" s="11" t="s">
        <v>200</v>
      </c>
      <c r="D81" s="12" t="s">
        <v>218</v>
      </c>
      <c r="E81" s="13" t="s">
        <v>30</v>
      </c>
      <c r="F81" s="39" t="n">
        <f aca="false">'Schedule Logic'!G76</f>
        <v>46387</v>
      </c>
      <c r="G81" s="39" t="n">
        <f aca="false">'Schedule Logic'!H76</f>
        <v>46401</v>
      </c>
      <c r="H81" s="40" t="n">
        <f aca="false">'Schedule Logic'!I76</f>
        <v>16</v>
      </c>
      <c r="I81" s="41" t="n">
        <v>0</v>
      </c>
      <c r="J81" s="13" t="s">
        <v>157</v>
      </c>
      <c r="K81" s="18" t="s">
        <v>53</v>
      </c>
      <c r="L81" s="19" t="n">
        <v>9100</v>
      </c>
      <c r="M81" s="19" t="n">
        <v>9100</v>
      </c>
      <c r="N81" s="11"/>
      <c r="O81" s="12" t="s">
        <v>219</v>
      </c>
    </row>
    <row r="82" customFormat="false" ht="39" hidden="false" customHeight="true" outlineLevel="0" collapsed="false">
      <c r="A82" s="30" t="s">
        <v>220</v>
      </c>
      <c r="B82" s="21" t="s">
        <v>200</v>
      </c>
      <c r="C82" s="21" t="s">
        <v>200</v>
      </c>
      <c r="D82" s="22" t="s">
        <v>221</v>
      </c>
      <c r="E82" s="27" t="s">
        <v>30</v>
      </c>
      <c r="F82" s="35" t="n">
        <f aca="false">'Schedule Logic'!G77</f>
        <v>46448</v>
      </c>
      <c r="G82" s="35" t="n">
        <f aca="false">'Schedule Logic'!H77</f>
        <v>46449</v>
      </c>
      <c r="H82" s="36" t="n">
        <f aca="false">'Schedule Logic'!I77</f>
        <v>12</v>
      </c>
      <c r="I82" s="37" t="n">
        <v>0</v>
      </c>
      <c r="J82" s="38" t="s">
        <v>31</v>
      </c>
      <c r="K82" s="24" t="s">
        <v>92</v>
      </c>
      <c r="L82" s="25"/>
      <c r="M82" s="25"/>
      <c r="N82" s="21"/>
      <c r="O82" s="22" t="s">
        <v>222</v>
      </c>
    </row>
    <row r="83" customFormat="false" ht="39" hidden="false" customHeight="true" outlineLevel="0" collapsed="false">
      <c r="A83" s="10" t="n">
        <v>86</v>
      </c>
      <c r="B83" s="11" t="s">
        <v>200</v>
      </c>
      <c r="C83" s="11" t="s">
        <v>200</v>
      </c>
      <c r="D83" s="12" t="s">
        <v>223</v>
      </c>
      <c r="E83" s="13" t="s">
        <v>30</v>
      </c>
      <c r="F83" s="39" t="n">
        <f aca="false">'Schedule Logic'!G78</f>
        <v>46443</v>
      </c>
      <c r="G83" s="39" t="n">
        <f aca="false">'Schedule Logic'!H78</f>
        <v>46443</v>
      </c>
      <c r="H83" s="40" t="n">
        <f aca="false">'Schedule Logic'!I78</f>
        <v>4</v>
      </c>
      <c r="I83" s="41" t="n">
        <v>0</v>
      </c>
      <c r="J83" s="13" t="s">
        <v>157</v>
      </c>
      <c r="K83" s="18" t="s">
        <v>53</v>
      </c>
      <c r="L83" s="19"/>
      <c r="M83" s="19"/>
      <c r="N83" s="11"/>
      <c r="O83" s="12" t="s">
        <v>224</v>
      </c>
    </row>
    <row r="84" customFormat="false" ht="14.25" hidden="false" customHeight="false" outlineLevel="0" collapsed="false">
      <c r="A84" s="30" t="n">
        <v>85</v>
      </c>
      <c r="B84" s="21" t="s">
        <v>200</v>
      </c>
      <c r="C84" s="21" t="s">
        <v>200</v>
      </c>
      <c r="D84" s="22" t="s">
        <v>225</v>
      </c>
      <c r="E84" s="50" t="s">
        <v>126</v>
      </c>
      <c r="F84" s="50"/>
      <c r="G84" s="50"/>
      <c r="H84" s="50"/>
      <c r="I84" s="51"/>
      <c r="J84" s="23" t="s">
        <v>31</v>
      </c>
      <c r="K84" s="24"/>
      <c r="L84" s="25"/>
      <c r="M84" s="25"/>
      <c r="N84" s="21"/>
      <c r="O84" s="22"/>
    </row>
    <row r="85" customFormat="false" ht="14.25" hidden="false" customHeight="false" outlineLevel="0" collapsed="false">
      <c r="A85" s="9" t="s">
        <v>226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6"/>
    </row>
    <row r="86" customFormat="false" ht="14.25" hidden="false" customHeight="false" outlineLevel="0" collapsed="false">
      <c r="A86" s="10" t="n">
        <v>87</v>
      </c>
      <c r="B86" s="11" t="s">
        <v>227</v>
      </c>
      <c r="C86" s="11" t="s">
        <v>228</v>
      </c>
      <c r="D86" s="12" t="s">
        <v>229</v>
      </c>
      <c r="E86" s="13" t="s">
        <v>30</v>
      </c>
      <c r="F86" s="13"/>
      <c r="G86" s="13"/>
      <c r="H86" s="13"/>
      <c r="I86" s="13"/>
      <c r="J86" s="13" t="s">
        <v>205</v>
      </c>
      <c r="K86" s="18" t="s">
        <v>71</v>
      </c>
      <c r="L86" s="19"/>
      <c r="M86" s="19"/>
      <c r="N86" s="11" t="s">
        <v>206</v>
      </c>
      <c r="O86" s="12" t="s">
        <v>230</v>
      </c>
    </row>
    <row r="87" customFormat="false" ht="14.25" hidden="false" customHeight="false" outlineLevel="0" collapsed="false">
      <c r="A87" s="30" t="n">
        <v>88</v>
      </c>
      <c r="B87" s="21" t="s">
        <v>227</v>
      </c>
      <c r="C87" s="21" t="s">
        <v>228</v>
      </c>
      <c r="D87" s="22" t="s">
        <v>231</v>
      </c>
      <c r="E87" s="27" t="s">
        <v>30</v>
      </c>
      <c r="F87" s="27"/>
      <c r="G87" s="27"/>
      <c r="H87" s="27"/>
      <c r="I87" s="27"/>
      <c r="J87" s="27" t="s">
        <v>215</v>
      </c>
      <c r="K87" s="24" t="s">
        <v>53</v>
      </c>
      <c r="L87" s="25"/>
      <c r="M87" s="25"/>
      <c r="N87" s="21"/>
      <c r="O87" s="22" t="s">
        <v>232</v>
      </c>
    </row>
    <row r="88" customFormat="false" ht="14.25" hidden="false" customHeight="false" outlineLevel="0" collapsed="false">
      <c r="A88" s="10" t="n">
        <v>89</v>
      </c>
      <c r="B88" s="11" t="s">
        <v>227</v>
      </c>
      <c r="C88" s="11" t="s">
        <v>228</v>
      </c>
      <c r="D88" s="12" t="s">
        <v>233</v>
      </c>
      <c r="E88" s="13" t="s">
        <v>30</v>
      </c>
      <c r="F88" s="13"/>
      <c r="G88" s="13"/>
      <c r="H88" s="13"/>
      <c r="I88" s="13"/>
      <c r="J88" s="13" t="s">
        <v>210</v>
      </c>
      <c r="K88" s="18" t="s">
        <v>53</v>
      </c>
      <c r="L88" s="19"/>
      <c r="M88" s="19"/>
      <c r="N88" s="11" t="s">
        <v>212</v>
      </c>
      <c r="O88" s="12" t="s">
        <v>234</v>
      </c>
    </row>
    <row r="89" customFormat="false" ht="14.25" hidden="false" customHeight="false" outlineLevel="0" collapsed="false">
      <c r="A89" s="30" t="n">
        <v>90</v>
      </c>
      <c r="B89" s="21" t="s">
        <v>227</v>
      </c>
      <c r="C89" s="21" t="s">
        <v>228</v>
      </c>
      <c r="D89" s="22" t="s">
        <v>235</v>
      </c>
      <c r="E89" s="27" t="s">
        <v>30</v>
      </c>
      <c r="F89" s="27"/>
      <c r="G89" s="27"/>
      <c r="H89" s="27"/>
      <c r="I89" s="27"/>
      <c r="J89" s="54" t="s">
        <v>236</v>
      </c>
      <c r="K89" s="24"/>
      <c r="L89" s="25"/>
      <c r="M89" s="25"/>
      <c r="N89" s="21"/>
      <c r="O89" s="22" t="s">
        <v>237</v>
      </c>
    </row>
    <row r="90" customFormat="false" ht="39" hidden="false" customHeight="true" outlineLevel="0" collapsed="false">
      <c r="A90" s="10" t="n">
        <v>91</v>
      </c>
      <c r="B90" s="11" t="s">
        <v>227</v>
      </c>
      <c r="C90" s="11" t="s">
        <v>238</v>
      </c>
      <c r="D90" s="12" t="s">
        <v>239</v>
      </c>
      <c r="E90" s="13" t="s">
        <v>30</v>
      </c>
      <c r="F90" s="13"/>
      <c r="G90" s="13"/>
      <c r="H90" s="13"/>
      <c r="I90" s="13"/>
      <c r="J90" s="13" t="s">
        <v>240</v>
      </c>
      <c r="K90" s="18" t="s">
        <v>92</v>
      </c>
      <c r="L90" s="19"/>
      <c r="M90" s="19"/>
      <c r="N90" s="11"/>
      <c r="O90" s="12" t="s">
        <v>241</v>
      </c>
    </row>
    <row r="91" customFormat="false" ht="39" hidden="false" customHeight="true" outlineLevel="0" collapsed="false">
      <c r="A91" s="30" t="n">
        <v>92</v>
      </c>
      <c r="B91" s="21" t="s">
        <v>227</v>
      </c>
      <c r="C91" s="21" t="s">
        <v>242</v>
      </c>
      <c r="D91" s="22" t="s">
        <v>243</v>
      </c>
      <c r="E91" s="27" t="s">
        <v>30</v>
      </c>
      <c r="F91" s="27"/>
      <c r="G91" s="27"/>
      <c r="H91" s="27"/>
      <c r="I91" s="27"/>
      <c r="J91" s="38" t="s">
        <v>244</v>
      </c>
      <c r="K91" s="24"/>
      <c r="L91" s="25"/>
      <c r="M91" s="25"/>
      <c r="N91" s="21"/>
      <c r="O91" s="22" t="s">
        <v>245</v>
      </c>
    </row>
    <row r="92" customFormat="false" ht="14.25" hidden="false" customHeight="false" outlineLevel="0" collapsed="false">
      <c r="A92" s="10" t="n">
        <v>93</v>
      </c>
      <c r="B92" s="11" t="s">
        <v>227</v>
      </c>
      <c r="C92" s="11" t="s">
        <v>246</v>
      </c>
      <c r="D92" s="12" t="s">
        <v>247</v>
      </c>
      <c r="E92" s="13" t="s">
        <v>30</v>
      </c>
      <c r="F92" s="13"/>
      <c r="G92" s="13"/>
      <c r="H92" s="13"/>
      <c r="I92" s="13"/>
      <c r="J92" s="33" t="s">
        <v>131</v>
      </c>
      <c r="K92" s="18" t="s">
        <v>92</v>
      </c>
      <c r="L92" s="19"/>
      <c r="M92" s="19"/>
      <c r="N92" s="11"/>
      <c r="O92" s="12" t="s">
        <v>248</v>
      </c>
    </row>
    <row r="93" customFormat="false" ht="14.25" hidden="false" customHeight="false" outlineLevel="0" collapsed="false">
      <c r="A93" s="30" t="n">
        <v>94</v>
      </c>
      <c r="B93" s="21" t="s">
        <v>227</v>
      </c>
      <c r="C93" s="21" t="s">
        <v>246</v>
      </c>
      <c r="D93" s="22" t="s">
        <v>249</v>
      </c>
      <c r="E93" s="27" t="s">
        <v>30</v>
      </c>
      <c r="F93" s="27"/>
      <c r="G93" s="27"/>
      <c r="H93" s="27"/>
      <c r="I93" s="27"/>
      <c r="J93" s="27" t="s">
        <v>215</v>
      </c>
      <c r="K93" s="24" t="s">
        <v>53</v>
      </c>
      <c r="L93" s="25"/>
      <c r="M93" s="25"/>
      <c r="N93" s="21"/>
      <c r="O93" s="22" t="s">
        <v>250</v>
      </c>
    </row>
    <row r="94" customFormat="false" ht="26.25" hidden="false" customHeight="true" outlineLevel="0" collapsed="false">
      <c r="A94" s="10" t="n">
        <v>95</v>
      </c>
      <c r="B94" s="11" t="s">
        <v>227</v>
      </c>
      <c r="C94" s="11" t="s">
        <v>246</v>
      </c>
      <c r="D94" s="12" t="s">
        <v>251</v>
      </c>
      <c r="E94" s="13" t="s">
        <v>30</v>
      </c>
      <c r="F94" s="13"/>
      <c r="G94" s="13"/>
      <c r="H94" s="13"/>
      <c r="I94" s="13"/>
      <c r="J94" s="13" t="s">
        <v>252</v>
      </c>
      <c r="K94" s="18" t="s">
        <v>92</v>
      </c>
      <c r="L94" s="19"/>
      <c r="M94" s="19"/>
      <c r="N94" s="11"/>
      <c r="O94" s="12" t="s">
        <v>253</v>
      </c>
    </row>
    <row r="95" customFormat="false" ht="26.25" hidden="false" customHeight="true" outlineLevel="0" collapsed="false">
      <c r="A95" s="30" t="n">
        <v>96</v>
      </c>
      <c r="B95" s="21" t="s">
        <v>227</v>
      </c>
      <c r="C95" s="21" t="s">
        <v>246</v>
      </c>
      <c r="D95" s="22" t="s">
        <v>254</v>
      </c>
      <c r="E95" s="27" t="s">
        <v>30</v>
      </c>
      <c r="F95" s="27"/>
      <c r="G95" s="27"/>
      <c r="H95" s="27"/>
      <c r="I95" s="27"/>
      <c r="J95" s="27" t="s">
        <v>255</v>
      </c>
      <c r="K95" s="24" t="s">
        <v>92</v>
      </c>
      <c r="L95" s="25"/>
      <c r="M95" s="25"/>
      <c r="N95" s="21"/>
      <c r="O95" s="22" t="s">
        <v>256</v>
      </c>
    </row>
    <row r="96" customFormat="false" ht="26.25" hidden="false" customHeight="true" outlineLevel="0" collapsed="false">
      <c r="A96" s="10" t="n">
        <v>97</v>
      </c>
      <c r="B96" s="11" t="s">
        <v>227</v>
      </c>
      <c r="C96" s="11" t="s">
        <v>246</v>
      </c>
      <c r="D96" s="12" t="s">
        <v>257</v>
      </c>
      <c r="E96" s="13" t="s">
        <v>30</v>
      </c>
      <c r="F96" s="13"/>
      <c r="G96" s="13"/>
      <c r="H96" s="13"/>
      <c r="I96" s="13"/>
      <c r="J96" s="13" t="s">
        <v>255</v>
      </c>
      <c r="K96" s="18" t="s">
        <v>92</v>
      </c>
      <c r="L96" s="19"/>
      <c r="M96" s="19"/>
      <c r="N96" s="11"/>
      <c r="O96" s="12" t="s">
        <v>258</v>
      </c>
    </row>
    <row r="97" customFormat="false" ht="39" hidden="false" customHeight="true" outlineLevel="0" collapsed="false">
      <c r="A97" s="30" t="n">
        <v>98</v>
      </c>
      <c r="B97" s="21" t="s">
        <v>227</v>
      </c>
      <c r="C97" s="21" t="s">
        <v>246</v>
      </c>
      <c r="D97" s="22" t="s">
        <v>259</v>
      </c>
      <c r="E97" s="27" t="s">
        <v>30</v>
      </c>
      <c r="F97" s="27"/>
      <c r="G97" s="27"/>
      <c r="H97" s="27"/>
      <c r="I97" s="27"/>
      <c r="J97" s="38" t="s">
        <v>260</v>
      </c>
      <c r="K97" s="24" t="s">
        <v>102</v>
      </c>
      <c r="L97" s="25"/>
      <c r="M97" s="25" t="n">
        <v>3500</v>
      </c>
      <c r="N97" s="21"/>
      <c r="O97" s="22" t="s">
        <v>261</v>
      </c>
    </row>
    <row r="98" customFormat="false" ht="14.25" hidden="false" customHeight="false" outlineLevel="0" collapsed="false">
      <c r="A98" s="10" t="n">
        <v>99</v>
      </c>
      <c r="B98" s="11" t="s">
        <v>227</v>
      </c>
      <c r="C98" s="11" t="s">
        <v>246</v>
      </c>
      <c r="D98" s="12" t="s">
        <v>262</v>
      </c>
      <c r="E98" s="13" t="s">
        <v>30</v>
      </c>
      <c r="F98" s="13"/>
      <c r="G98" s="13"/>
      <c r="H98" s="13"/>
      <c r="I98" s="13"/>
      <c r="J98" s="13" t="s">
        <v>157</v>
      </c>
      <c r="K98" s="18" t="s">
        <v>92</v>
      </c>
      <c r="L98" s="19"/>
      <c r="M98" s="19"/>
      <c r="N98" s="11"/>
      <c r="O98" s="12" t="s">
        <v>263</v>
      </c>
    </row>
    <row r="99" customFormat="false" ht="14.25" hidden="false" customHeight="false" outlineLevel="0" collapsed="false">
      <c r="A99" s="30" t="n">
        <v>100</v>
      </c>
      <c r="B99" s="21" t="s">
        <v>227</v>
      </c>
      <c r="C99" s="21" t="s">
        <v>246</v>
      </c>
      <c r="D99" s="22" t="s">
        <v>264</v>
      </c>
      <c r="E99" s="27" t="s">
        <v>30</v>
      </c>
      <c r="F99" s="27"/>
      <c r="G99" s="27"/>
      <c r="H99" s="27"/>
      <c r="I99" s="27"/>
      <c r="J99" s="54" t="s">
        <v>265</v>
      </c>
      <c r="K99" s="24" t="s">
        <v>266</v>
      </c>
      <c r="L99" s="25"/>
      <c r="M99" s="25"/>
      <c r="N99" s="21" t="s">
        <v>212</v>
      </c>
      <c r="O99" s="22" t="s">
        <v>267</v>
      </c>
    </row>
    <row r="100" customFormat="false" ht="26.25" hidden="false" customHeight="true" outlineLevel="0" collapsed="false">
      <c r="A100" s="10" t="n">
        <v>101</v>
      </c>
      <c r="B100" s="11" t="s">
        <v>227</v>
      </c>
      <c r="C100" s="11" t="s">
        <v>246</v>
      </c>
      <c r="D100" s="12" t="s">
        <v>268</v>
      </c>
      <c r="E100" s="13" t="s">
        <v>30</v>
      </c>
      <c r="F100" s="13"/>
      <c r="G100" s="13"/>
      <c r="H100" s="13"/>
      <c r="I100" s="13"/>
      <c r="J100" s="57" t="s">
        <v>269</v>
      </c>
      <c r="K100" s="18" t="s">
        <v>270</v>
      </c>
      <c r="L100" s="19" t="n">
        <v>3000</v>
      </c>
      <c r="M100" s="19" t="n">
        <v>3000</v>
      </c>
      <c r="N100" s="11" t="s">
        <v>271</v>
      </c>
      <c r="O100" s="12" t="s">
        <v>272</v>
      </c>
    </row>
    <row r="101" customFormat="false" ht="14.25" hidden="false" customHeight="false" outlineLevel="0" collapsed="false">
      <c r="A101" s="30" t="n">
        <v>102</v>
      </c>
      <c r="B101" s="21" t="s">
        <v>227</v>
      </c>
      <c r="C101" s="21" t="s">
        <v>273</v>
      </c>
      <c r="D101" s="22" t="s">
        <v>274</v>
      </c>
      <c r="E101" s="27" t="s">
        <v>30</v>
      </c>
      <c r="F101" s="27"/>
      <c r="G101" s="27"/>
      <c r="H101" s="27"/>
      <c r="I101" s="27"/>
      <c r="J101" s="38" t="s">
        <v>275</v>
      </c>
      <c r="K101" s="24" t="s">
        <v>123</v>
      </c>
      <c r="L101" s="25"/>
      <c r="M101" s="25"/>
      <c r="N101" s="21"/>
      <c r="O101" s="22"/>
    </row>
    <row r="102" customFormat="false" ht="14.25" hidden="false" customHeight="false" outlineLevel="0" collapsed="false">
      <c r="A102" s="10" t="n">
        <v>103</v>
      </c>
      <c r="B102" s="11" t="s">
        <v>227</v>
      </c>
      <c r="C102" s="11" t="s">
        <v>273</v>
      </c>
      <c r="D102" s="12" t="s">
        <v>276</v>
      </c>
      <c r="E102" s="13" t="s">
        <v>30</v>
      </c>
      <c r="F102" s="13"/>
      <c r="G102" s="13"/>
      <c r="H102" s="13"/>
      <c r="I102" s="13"/>
      <c r="J102" s="33" t="s">
        <v>277</v>
      </c>
      <c r="K102" s="18" t="s">
        <v>123</v>
      </c>
      <c r="L102" s="19"/>
      <c r="M102" s="19"/>
      <c r="N102" s="11"/>
      <c r="O102" s="12"/>
    </row>
    <row r="103" customFormat="false" ht="14.25" hidden="false" customHeight="false" outlineLevel="0" collapsed="false">
      <c r="A103" s="10" t="n">
        <v>107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</row>
    <row r="104" customFormat="false" ht="14.25" hidden="false" customHeight="false" outlineLevel="0" collapsed="false">
      <c r="A104" s="30" t="n">
        <v>104</v>
      </c>
      <c r="B104" s="21" t="s">
        <v>227</v>
      </c>
      <c r="C104" s="21" t="s">
        <v>273</v>
      </c>
      <c r="D104" s="22" t="s">
        <v>278</v>
      </c>
      <c r="E104" s="27" t="s">
        <v>30</v>
      </c>
      <c r="F104" s="27"/>
      <c r="G104" s="27"/>
      <c r="H104" s="27"/>
      <c r="I104" s="27"/>
      <c r="J104" s="54" t="s">
        <v>154</v>
      </c>
      <c r="K104" s="24" t="s">
        <v>279</v>
      </c>
      <c r="L104" s="25"/>
      <c r="M104" s="25"/>
      <c r="N104" s="21"/>
      <c r="O104" s="22" t="s">
        <v>280</v>
      </c>
    </row>
    <row r="105" customFormat="false" ht="14.25" hidden="false" customHeight="false" outlineLevel="0" collapsed="false">
      <c r="A105" s="10" t="n">
        <v>107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6"/>
    </row>
    <row r="106" customFormat="false" ht="14.25" hidden="false" customHeight="false" outlineLevel="0" collapsed="false">
      <c r="A106" s="10" t="n">
        <v>105</v>
      </c>
      <c r="B106" s="11" t="s">
        <v>227</v>
      </c>
      <c r="C106" s="11" t="s">
        <v>281</v>
      </c>
      <c r="D106" s="12" t="s">
        <v>282</v>
      </c>
      <c r="E106" s="13" t="s">
        <v>30</v>
      </c>
      <c r="F106" s="13"/>
      <c r="G106" s="13"/>
      <c r="H106" s="13"/>
      <c r="I106" s="13"/>
      <c r="J106" s="57" t="s">
        <v>154</v>
      </c>
      <c r="K106" s="18" t="s">
        <v>92</v>
      </c>
      <c r="L106" s="19"/>
      <c r="M106" s="19"/>
      <c r="N106" s="11"/>
      <c r="O106" s="12" t="s">
        <v>283</v>
      </c>
    </row>
    <row r="107" customFormat="false" ht="14.25" hidden="false" customHeight="false" outlineLevel="0" collapsed="false">
      <c r="A107" s="9" t="s">
        <v>284</v>
      </c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6"/>
    </row>
    <row r="108" customFormat="false" ht="14.25" hidden="false" customHeight="false" outlineLevel="0" collapsed="false">
      <c r="A108" s="30" t="n">
        <v>106</v>
      </c>
      <c r="B108" s="21" t="s">
        <v>285</v>
      </c>
      <c r="C108" s="21" t="s">
        <v>228</v>
      </c>
      <c r="D108" s="22" t="s">
        <v>229</v>
      </c>
      <c r="E108" s="27" t="s">
        <v>30</v>
      </c>
      <c r="F108" s="27"/>
      <c r="G108" s="27"/>
      <c r="H108" s="27"/>
      <c r="I108" s="27"/>
      <c r="J108" s="27" t="s">
        <v>205</v>
      </c>
      <c r="K108" s="24" t="s">
        <v>71</v>
      </c>
      <c r="L108" s="25"/>
      <c r="M108" s="25"/>
      <c r="N108" s="21" t="s">
        <v>206</v>
      </c>
      <c r="O108" s="22" t="s">
        <v>230</v>
      </c>
    </row>
    <row r="109" customFormat="false" ht="14.25" hidden="false" customHeight="false" outlineLevel="0" collapsed="false">
      <c r="A109" s="10" t="n">
        <v>107</v>
      </c>
      <c r="B109" s="11" t="s">
        <v>285</v>
      </c>
      <c r="C109" s="11" t="s">
        <v>228</v>
      </c>
      <c r="D109" s="12" t="s">
        <v>286</v>
      </c>
      <c r="E109" s="13" t="s">
        <v>30</v>
      </c>
      <c r="F109" s="13"/>
      <c r="G109" s="13"/>
      <c r="H109" s="13"/>
      <c r="I109" s="13"/>
      <c r="J109" s="13" t="s">
        <v>215</v>
      </c>
      <c r="K109" s="18" t="s">
        <v>53</v>
      </c>
      <c r="L109" s="19"/>
      <c r="M109" s="19"/>
      <c r="N109" s="11"/>
      <c r="O109" s="12" t="s">
        <v>232</v>
      </c>
    </row>
    <row r="110" customFormat="false" ht="14.25" hidden="false" customHeight="false" outlineLevel="0" collapsed="false">
      <c r="A110" s="30" t="n">
        <v>108</v>
      </c>
      <c r="B110" s="21" t="s">
        <v>285</v>
      </c>
      <c r="C110" s="21" t="s">
        <v>228</v>
      </c>
      <c r="D110" s="22" t="s">
        <v>287</v>
      </c>
      <c r="E110" s="27" t="s">
        <v>30</v>
      </c>
      <c r="F110" s="27"/>
      <c r="G110" s="27"/>
      <c r="H110" s="27"/>
      <c r="I110" s="27"/>
      <c r="J110" s="27" t="s">
        <v>210</v>
      </c>
      <c r="K110" s="24" t="s">
        <v>53</v>
      </c>
      <c r="L110" s="25"/>
      <c r="M110" s="25"/>
      <c r="N110" s="21" t="s">
        <v>212</v>
      </c>
      <c r="O110" s="22" t="s">
        <v>234</v>
      </c>
    </row>
    <row r="111" customFormat="false" ht="14.25" hidden="false" customHeight="false" outlineLevel="0" collapsed="false">
      <c r="A111" s="10" t="n">
        <v>109</v>
      </c>
      <c r="B111" s="11" t="s">
        <v>285</v>
      </c>
      <c r="C111" s="11" t="s">
        <v>228</v>
      </c>
      <c r="D111" s="12" t="s">
        <v>288</v>
      </c>
      <c r="E111" s="13" t="s">
        <v>30</v>
      </c>
      <c r="F111" s="13"/>
      <c r="G111" s="13"/>
      <c r="H111" s="13"/>
      <c r="I111" s="13"/>
      <c r="J111" s="57" t="s">
        <v>236</v>
      </c>
      <c r="K111" s="18"/>
      <c r="L111" s="19"/>
      <c r="M111" s="19"/>
      <c r="N111" s="11"/>
      <c r="O111" s="12" t="s">
        <v>237</v>
      </c>
    </row>
    <row r="112" customFormat="false" ht="26.25" hidden="false" customHeight="true" outlineLevel="0" collapsed="false">
      <c r="A112" s="30" t="n">
        <v>110</v>
      </c>
      <c r="B112" s="21" t="s">
        <v>285</v>
      </c>
      <c r="C112" s="21" t="s">
        <v>238</v>
      </c>
      <c r="D112" s="22" t="s">
        <v>239</v>
      </c>
      <c r="E112" s="27" t="s">
        <v>30</v>
      </c>
      <c r="F112" s="27"/>
      <c r="G112" s="27"/>
      <c r="H112" s="27"/>
      <c r="I112" s="27"/>
      <c r="J112" s="27" t="s">
        <v>240</v>
      </c>
      <c r="K112" s="24" t="s">
        <v>92</v>
      </c>
      <c r="L112" s="25"/>
      <c r="M112" s="25"/>
      <c r="N112" s="21"/>
      <c r="O112" s="22" t="s">
        <v>289</v>
      </c>
    </row>
    <row r="113" customFormat="false" ht="14.25" hidden="false" customHeight="false" outlineLevel="0" collapsed="false">
      <c r="A113" s="10" t="n">
        <v>111</v>
      </c>
      <c r="B113" s="11" t="s">
        <v>285</v>
      </c>
      <c r="C113" s="11" t="s">
        <v>246</v>
      </c>
      <c r="D113" s="12" t="s">
        <v>247</v>
      </c>
      <c r="E113" s="13" t="s">
        <v>30</v>
      </c>
      <c r="F113" s="13"/>
      <c r="G113" s="13"/>
      <c r="H113" s="13"/>
      <c r="I113" s="13"/>
      <c r="J113" s="33" t="s">
        <v>131</v>
      </c>
      <c r="K113" s="18" t="s">
        <v>92</v>
      </c>
      <c r="L113" s="19"/>
      <c r="M113" s="19"/>
      <c r="N113" s="11"/>
      <c r="O113" s="12" t="s">
        <v>248</v>
      </c>
    </row>
    <row r="114" customFormat="false" ht="26.25" hidden="false" customHeight="true" outlineLevel="0" collapsed="false">
      <c r="A114" s="30" t="n">
        <v>112</v>
      </c>
      <c r="B114" s="21" t="s">
        <v>285</v>
      </c>
      <c r="C114" s="21" t="s">
        <v>246</v>
      </c>
      <c r="D114" s="22" t="s">
        <v>254</v>
      </c>
      <c r="E114" s="27" t="s">
        <v>30</v>
      </c>
      <c r="F114" s="27"/>
      <c r="G114" s="27"/>
      <c r="H114" s="27"/>
      <c r="I114" s="27"/>
      <c r="J114" s="27" t="s">
        <v>255</v>
      </c>
      <c r="K114" s="24" t="s">
        <v>92</v>
      </c>
      <c r="L114" s="25"/>
      <c r="M114" s="25"/>
      <c r="N114" s="21"/>
      <c r="O114" s="22" t="s">
        <v>256</v>
      </c>
    </row>
    <row r="115" customFormat="false" ht="26.25" hidden="false" customHeight="true" outlineLevel="0" collapsed="false">
      <c r="A115" s="10" t="n">
        <v>113</v>
      </c>
      <c r="B115" s="11" t="s">
        <v>285</v>
      </c>
      <c r="C115" s="11" t="s">
        <v>246</v>
      </c>
      <c r="D115" s="12" t="s">
        <v>257</v>
      </c>
      <c r="E115" s="13" t="s">
        <v>30</v>
      </c>
      <c r="F115" s="13"/>
      <c r="G115" s="13"/>
      <c r="H115" s="13"/>
      <c r="I115" s="13"/>
      <c r="J115" s="13" t="s">
        <v>255</v>
      </c>
      <c r="K115" s="18" t="s">
        <v>92</v>
      </c>
      <c r="L115" s="19"/>
      <c r="M115" s="19"/>
      <c r="N115" s="11"/>
      <c r="O115" s="12" t="s">
        <v>258</v>
      </c>
    </row>
    <row r="116" customFormat="false" ht="26.25" hidden="false" customHeight="true" outlineLevel="0" collapsed="false">
      <c r="A116" s="30" t="n">
        <v>114</v>
      </c>
      <c r="B116" s="21" t="s">
        <v>285</v>
      </c>
      <c r="C116" s="21" t="s">
        <v>246</v>
      </c>
      <c r="D116" s="22" t="s">
        <v>290</v>
      </c>
      <c r="E116" s="27" t="s">
        <v>30</v>
      </c>
      <c r="F116" s="27"/>
      <c r="G116" s="27"/>
      <c r="H116" s="27"/>
      <c r="I116" s="27"/>
      <c r="J116" s="38" t="s">
        <v>260</v>
      </c>
      <c r="K116" s="24" t="s">
        <v>102</v>
      </c>
      <c r="L116" s="25"/>
      <c r="M116" s="25"/>
      <c r="N116" s="21"/>
      <c r="O116" s="22" t="s">
        <v>291</v>
      </c>
    </row>
    <row r="117" customFormat="false" ht="14.25" hidden="false" customHeight="false" outlineLevel="0" collapsed="false">
      <c r="A117" s="10" t="n">
        <v>115</v>
      </c>
      <c r="B117" s="11" t="s">
        <v>285</v>
      </c>
      <c r="C117" s="11" t="s">
        <v>246</v>
      </c>
      <c r="D117" s="12" t="s">
        <v>262</v>
      </c>
      <c r="E117" s="13" t="s">
        <v>30</v>
      </c>
      <c r="F117" s="13"/>
      <c r="G117" s="13"/>
      <c r="H117" s="13"/>
      <c r="I117" s="13"/>
      <c r="J117" s="13" t="s">
        <v>157</v>
      </c>
      <c r="K117" s="18" t="s">
        <v>92</v>
      </c>
      <c r="L117" s="19"/>
      <c r="M117" s="19"/>
      <c r="N117" s="11"/>
      <c r="O117" s="12" t="s">
        <v>263</v>
      </c>
    </row>
    <row r="118" customFormat="false" ht="14.25" hidden="false" customHeight="false" outlineLevel="0" collapsed="false">
      <c r="A118" s="30" t="n">
        <v>116</v>
      </c>
      <c r="B118" s="21" t="s">
        <v>285</v>
      </c>
      <c r="C118" s="21" t="s">
        <v>246</v>
      </c>
      <c r="D118" s="22" t="s">
        <v>264</v>
      </c>
      <c r="E118" s="27" t="s">
        <v>30</v>
      </c>
      <c r="F118" s="27"/>
      <c r="G118" s="27"/>
      <c r="H118" s="27"/>
      <c r="I118" s="27"/>
      <c r="J118" s="54" t="s">
        <v>265</v>
      </c>
      <c r="K118" s="24" t="s">
        <v>266</v>
      </c>
      <c r="L118" s="25"/>
      <c r="M118" s="25"/>
      <c r="N118" s="21" t="s">
        <v>212</v>
      </c>
      <c r="O118" s="22"/>
    </row>
    <row r="119" customFormat="false" ht="26.25" hidden="false" customHeight="true" outlineLevel="0" collapsed="false">
      <c r="A119" s="10" t="n">
        <v>117</v>
      </c>
      <c r="B119" s="11" t="s">
        <v>285</v>
      </c>
      <c r="C119" s="11" t="s">
        <v>246</v>
      </c>
      <c r="D119" s="12" t="s">
        <v>292</v>
      </c>
      <c r="E119" s="13" t="s">
        <v>30</v>
      </c>
      <c r="F119" s="13"/>
      <c r="G119" s="13"/>
      <c r="H119" s="13"/>
      <c r="I119" s="13"/>
      <c r="J119" s="57" t="s">
        <v>269</v>
      </c>
      <c r="K119" s="18" t="s">
        <v>293</v>
      </c>
      <c r="L119" s="19"/>
      <c r="M119" s="19"/>
      <c r="N119" s="11"/>
      <c r="O119" s="12" t="s">
        <v>294</v>
      </c>
    </row>
    <row r="120" customFormat="false" ht="14.25" hidden="false" customHeight="false" outlineLevel="0" collapsed="false">
      <c r="A120" s="30" t="n">
        <v>122</v>
      </c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</row>
    <row r="121" customFormat="false" ht="14.25" hidden="false" customHeight="false" outlineLevel="0" collapsed="false">
      <c r="A121" s="30" t="n">
        <v>118</v>
      </c>
      <c r="B121" s="21" t="s">
        <v>285</v>
      </c>
      <c r="C121" s="21" t="s">
        <v>273</v>
      </c>
      <c r="D121" s="22" t="s">
        <v>276</v>
      </c>
      <c r="E121" s="27" t="s">
        <v>30</v>
      </c>
      <c r="F121" s="27"/>
      <c r="G121" s="27"/>
      <c r="H121" s="27"/>
      <c r="I121" s="27"/>
      <c r="J121" s="38" t="s">
        <v>277</v>
      </c>
      <c r="K121" s="24" t="s">
        <v>123</v>
      </c>
      <c r="L121" s="25"/>
      <c r="M121" s="25"/>
      <c r="N121" s="21"/>
      <c r="O121" s="22"/>
    </row>
    <row r="122" customFormat="false" ht="14.25" hidden="false" customHeight="false" outlineLevel="0" collapsed="false">
      <c r="A122" s="10" t="n">
        <v>123</v>
      </c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6"/>
    </row>
    <row r="123" customFormat="false" ht="14.25" hidden="false" customHeight="false" outlineLevel="0" collapsed="false">
      <c r="A123" s="10" t="n">
        <v>119</v>
      </c>
      <c r="B123" s="11" t="s">
        <v>285</v>
      </c>
      <c r="C123" s="11" t="s">
        <v>281</v>
      </c>
      <c r="D123" s="12" t="s">
        <v>282</v>
      </c>
      <c r="E123" s="13" t="s">
        <v>30</v>
      </c>
      <c r="F123" s="13"/>
      <c r="G123" s="13"/>
      <c r="H123" s="13"/>
      <c r="I123" s="13"/>
      <c r="J123" s="57" t="s">
        <v>154</v>
      </c>
      <c r="K123" s="18" t="s">
        <v>92</v>
      </c>
      <c r="L123" s="19"/>
      <c r="M123" s="19"/>
      <c r="N123" s="11"/>
      <c r="O123" s="12" t="s">
        <v>295</v>
      </c>
    </row>
    <row r="124" customFormat="false" ht="14.25" hidden="false" customHeight="false" outlineLevel="0" collapsed="false">
      <c r="A124" s="9" t="s">
        <v>296</v>
      </c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6"/>
    </row>
    <row r="125" customFormat="false" ht="14.25" hidden="false" customHeight="false" outlineLevel="0" collapsed="false">
      <c r="A125" s="30" t="n">
        <v>120</v>
      </c>
      <c r="B125" s="21" t="s">
        <v>297</v>
      </c>
      <c r="C125" s="21" t="s">
        <v>298</v>
      </c>
      <c r="D125" s="22" t="s">
        <v>299</v>
      </c>
      <c r="E125" s="27" t="s">
        <v>30</v>
      </c>
      <c r="F125" s="27"/>
      <c r="G125" s="27"/>
      <c r="H125" s="27"/>
      <c r="I125" s="27"/>
      <c r="J125" s="38" t="s">
        <v>300</v>
      </c>
      <c r="K125" s="24"/>
      <c r="L125" s="25"/>
      <c r="M125" s="25"/>
      <c r="N125" s="21"/>
      <c r="O125" s="22"/>
    </row>
    <row r="126" customFormat="false" ht="14.25" hidden="false" customHeight="false" outlineLevel="0" collapsed="false">
      <c r="A126" s="10" t="n">
        <v>121</v>
      </c>
      <c r="B126" s="11" t="s">
        <v>297</v>
      </c>
      <c r="C126" s="11" t="s">
        <v>298</v>
      </c>
      <c r="D126" s="12" t="s">
        <v>301</v>
      </c>
      <c r="E126" s="13" t="s">
        <v>30</v>
      </c>
      <c r="F126" s="13"/>
      <c r="G126" s="13"/>
      <c r="H126" s="13"/>
      <c r="I126" s="13"/>
      <c r="J126" s="33" t="s">
        <v>300</v>
      </c>
      <c r="K126" s="18"/>
      <c r="L126" s="19"/>
      <c r="M126" s="19"/>
      <c r="N126" s="11"/>
      <c r="O126" s="12"/>
    </row>
    <row r="127" customFormat="false" ht="14.25" hidden="false" customHeight="false" outlineLevel="0" collapsed="false">
      <c r="A127" s="30" t="n">
        <v>122</v>
      </c>
      <c r="B127" s="21" t="s">
        <v>297</v>
      </c>
      <c r="C127" s="21" t="s">
        <v>298</v>
      </c>
      <c r="D127" s="22" t="s">
        <v>302</v>
      </c>
      <c r="E127" s="27" t="s">
        <v>30</v>
      </c>
      <c r="F127" s="27"/>
      <c r="G127" s="27"/>
      <c r="H127" s="27"/>
      <c r="I127" s="27"/>
      <c r="J127" s="38" t="s">
        <v>300</v>
      </c>
      <c r="K127" s="24" t="s">
        <v>279</v>
      </c>
      <c r="L127" s="25"/>
      <c r="M127" s="25"/>
      <c r="N127" s="21"/>
      <c r="O127" s="22" t="s">
        <v>303</v>
      </c>
    </row>
    <row r="128" customFormat="false" ht="14.25" hidden="false" customHeight="false" outlineLevel="0" collapsed="false">
      <c r="A128" s="10" t="n">
        <v>123</v>
      </c>
      <c r="B128" s="11" t="s">
        <v>297</v>
      </c>
      <c r="C128" s="11" t="s">
        <v>304</v>
      </c>
      <c r="D128" s="12" t="s">
        <v>305</v>
      </c>
      <c r="E128" s="13" t="s">
        <v>30</v>
      </c>
      <c r="F128" s="13"/>
      <c r="G128" s="13"/>
      <c r="H128" s="13"/>
      <c r="I128" s="13"/>
      <c r="J128" s="33" t="s">
        <v>277</v>
      </c>
      <c r="K128" s="18" t="s">
        <v>123</v>
      </c>
      <c r="L128" s="19"/>
      <c r="M128" s="19"/>
      <c r="N128" s="11"/>
      <c r="O128" s="12"/>
    </row>
    <row r="129" customFormat="false" ht="14.25" hidden="false" customHeight="false" outlineLevel="0" collapsed="false">
      <c r="A129" s="30" t="n">
        <v>124</v>
      </c>
      <c r="B129" s="21" t="s">
        <v>297</v>
      </c>
      <c r="C129" s="21" t="s">
        <v>304</v>
      </c>
      <c r="D129" s="22" t="s">
        <v>306</v>
      </c>
      <c r="E129" s="27" t="s">
        <v>30</v>
      </c>
      <c r="F129" s="27"/>
      <c r="G129" s="27"/>
      <c r="H129" s="27"/>
      <c r="I129" s="27"/>
      <c r="J129" s="38" t="s">
        <v>277</v>
      </c>
      <c r="K129" s="24" t="s">
        <v>123</v>
      </c>
      <c r="L129" s="25"/>
      <c r="M129" s="25"/>
      <c r="N129" s="21"/>
      <c r="O129" s="22"/>
    </row>
    <row r="130" customFormat="false" ht="14.25" hidden="false" customHeight="false" outlineLevel="0" collapsed="false">
      <c r="A130" s="10" t="n">
        <v>125</v>
      </c>
      <c r="B130" s="11" t="s">
        <v>297</v>
      </c>
      <c r="C130" s="11" t="s">
        <v>304</v>
      </c>
      <c r="D130" s="12" t="s">
        <v>307</v>
      </c>
      <c r="E130" s="13" t="s">
        <v>30</v>
      </c>
      <c r="F130" s="13"/>
      <c r="G130" s="13"/>
      <c r="H130" s="13"/>
      <c r="I130" s="13"/>
      <c r="J130" s="33" t="s">
        <v>277</v>
      </c>
      <c r="K130" s="18" t="s">
        <v>123</v>
      </c>
      <c r="L130" s="19"/>
      <c r="M130" s="19"/>
      <c r="N130" s="11"/>
      <c r="O130" s="12"/>
    </row>
    <row r="131" customFormat="false" ht="14.25" hidden="false" customHeight="false" outlineLevel="0" collapsed="false">
      <c r="A131" s="30" t="n">
        <v>126</v>
      </c>
      <c r="B131" s="21" t="s">
        <v>297</v>
      </c>
      <c r="C131" s="21" t="s">
        <v>134</v>
      </c>
      <c r="D131" s="22" t="s">
        <v>308</v>
      </c>
      <c r="E131" s="27" t="s">
        <v>30</v>
      </c>
      <c r="F131" s="27"/>
      <c r="G131" s="27"/>
      <c r="H131" s="27"/>
      <c r="I131" s="27"/>
      <c r="J131" s="38" t="s">
        <v>275</v>
      </c>
      <c r="K131" s="24" t="s">
        <v>123</v>
      </c>
      <c r="L131" s="25"/>
      <c r="M131" s="25"/>
      <c r="N131" s="21"/>
      <c r="O131" s="22" t="s">
        <v>309</v>
      </c>
    </row>
    <row r="132" customFormat="false" ht="26.25" hidden="false" customHeight="true" outlineLevel="0" collapsed="false">
      <c r="A132" s="10" t="n">
        <v>127</v>
      </c>
      <c r="B132" s="11" t="s">
        <v>297</v>
      </c>
      <c r="C132" s="11" t="s">
        <v>134</v>
      </c>
      <c r="D132" s="12" t="s">
        <v>310</v>
      </c>
      <c r="E132" s="13" t="s">
        <v>30</v>
      </c>
      <c r="F132" s="13"/>
      <c r="G132" s="13"/>
      <c r="H132" s="13"/>
      <c r="I132" s="13"/>
      <c r="J132" s="33" t="s">
        <v>311</v>
      </c>
      <c r="K132" s="11"/>
      <c r="L132" s="19"/>
      <c r="M132" s="19"/>
      <c r="N132" s="11"/>
      <c r="O132" s="12" t="s">
        <v>312</v>
      </c>
    </row>
    <row r="133" customFormat="false" ht="14.25" hidden="false" customHeight="false" outlineLevel="0" collapsed="false">
      <c r="A133" s="30" t="n">
        <v>128</v>
      </c>
      <c r="B133" s="21" t="s">
        <v>297</v>
      </c>
      <c r="C133" s="21" t="s">
        <v>134</v>
      </c>
      <c r="D133" s="22" t="s">
        <v>313</v>
      </c>
      <c r="E133" s="27" t="s">
        <v>30</v>
      </c>
      <c r="F133" s="27"/>
      <c r="G133" s="27"/>
      <c r="H133" s="27"/>
      <c r="I133" s="27"/>
      <c r="J133" s="38" t="s">
        <v>277</v>
      </c>
      <c r="K133" s="24" t="s">
        <v>123</v>
      </c>
      <c r="L133" s="25"/>
      <c r="M133" s="25"/>
      <c r="N133" s="21"/>
      <c r="O133" s="22"/>
    </row>
    <row r="134" customFormat="false" ht="26.25" hidden="false" customHeight="true" outlineLevel="0" collapsed="false">
      <c r="A134" s="10" t="n">
        <v>129</v>
      </c>
      <c r="B134" s="11" t="s">
        <v>297</v>
      </c>
      <c r="C134" s="11" t="s">
        <v>134</v>
      </c>
      <c r="D134" s="12" t="s">
        <v>314</v>
      </c>
      <c r="E134" s="13" t="s">
        <v>30</v>
      </c>
      <c r="F134" s="13"/>
      <c r="G134" s="13"/>
      <c r="H134" s="13"/>
      <c r="I134" s="13"/>
      <c r="J134" s="57" t="s">
        <v>315</v>
      </c>
      <c r="K134" s="18" t="s">
        <v>71</v>
      </c>
      <c r="L134" s="19"/>
      <c r="M134" s="19"/>
      <c r="N134" s="11"/>
      <c r="O134" s="12" t="s">
        <v>316</v>
      </c>
    </row>
    <row r="135" customFormat="false" ht="26.25" hidden="false" customHeight="true" outlineLevel="0" collapsed="false">
      <c r="A135" s="30" t="n">
        <v>130</v>
      </c>
      <c r="B135" s="21" t="s">
        <v>297</v>
      </c>
      <c r="C135" s="21" t="s">
        <v>317</v>
      </c>
      <c r="D135" s="22" t="s">
        <v>318</v>
      </c>
      <c r="E135" s="27" t="s">
        <v>30</v>
      </c>
      <c r="F135" s="27"/>
      <c r="G135" s="27"/>
      <c r="H135" s="27"/>
      <c r="I135" s="27"/>
      <c r="J135" s="38" t="s">
        <v>319</v>
      </c>
      <c r="K135" s="24" t="s">
        <v>71</v>
      </c>
      <c r="L135" s="25"/>
      <c r="M135" s="25"/>
      <c r="N135" s="21"/>
      <c r="O135" s="22" t="s">
        <v>320</v>
      </c>
    </row>
    <row r="136" customFormat="false" ht="26.25" hidden="false" customHeight="true" outlineLevel="0" collapsed="false">
      <c r="A136" s="10" t="n">
        <v>131</v>
      </c>
      <c r="B136" s="11" t="s">
        <v>297</v>
      </c>
      <c r="C136" s="11" t="s">
        <v>317</v>
      </c>
      <c r="D136" s="12" t="s">
        <v>321</v>
      </c>
      <c r="E136" s="13" t="s">
        <v>30</v>
      </c>
      <c r="F136" s="13"/>
      <c r="G136" s="13"/>
      <c r="H136" s="13"/>
      <c r="I136" s="13"/>
      <c r="J136" s="33" t="s">
        <v>319</v>
      </c>
      <c r="K136" s="18" t="s">
        <v>71</v>
      </c>
      <c r="L136" s="19"/>
      <c r="M136" s="19"/>
      <c r="N136" s="11"/>
      <c r="O136" s="12" t="s">
        <v>320</v>
      </c>
    </row>
    <row r="137" customFormat="false" ht="14.25" hidden="false" customHeight="false" outlineLevel="0" collapsed="false">
      <c r="A137" s="30" t="n">
        <v>132</v>
      </c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</row>
    <row r="138" customFormat="false" ht="14.25" hidden="false" customHeight="false" outlineLevel="0" collapsed="false">
      <c r="A138" s="10" t="n">
        <v>137</v>
      </c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6"/>
    </row>
    <row r="139" customFormat="false" ht="14.25" hidden="false" customHeight="false" outlineLevel="0" collapsed="false">
      <c r="A139" s="10" t="n">
        <v>133</v>
      </c>
      <c r="B139" s="11" t="s">
        <v>297</v>
      </c>
      <c r="C139" s="11" t="s">
        <v>322</v>
      </c>
      <c r="D139" s="12" t="s">
        <v>323</v>
      </c>
      <c r="E139" s="13" t="s">
        <v>30</v>
      </c>
      <c r="F139" s="13"/>
      <c r="G139" s="13"/>
      <c r="H139" s="13"/>
      <c r="I139" s="13"/>
      <c r="J139" s="33" t="s">
        <v>324</v>
      </c>
      <c r="K139" s="18" t="s">
        <v>279</v>
      </c>
      <c r="L139" s="19"/>
      <c r="M139" s="19"/>
      <c r="N139" s="11"/>
      <c r="O139" s="12" t="s">
        <v>325</v>
      </c>
    </row>
    <row r="140" customFormat="false" ht="14.25" hidden="false" customHeight="false" outlineLevel="0" collapsed="false">
      <c r="A140" s="30" t="n">
        <v>134</v>
      </c>
      <c r="B140" s="21" t="s">
        <v>297</v>
      </c>
      <c r="C140" s="21" t="s">
        <v>322</v>
      </c>
      <c r="D140" s="22" t="s">
        <v>326</v>
      </c>
      <c r="E140" s="27" t="s">
        <v>30</v>
      </c>
      <c r="F140" s="27"/>
      <c r="G140" s="27"/>
      <c r="H140" s="27"/>
      <c r="I140" s="27"/>
      <c r="J140" s="38" t="s">
        <v>327</v>
      </c>
      <c r="K140" s="24" t="s">
        <v>293</v>
      </c>
      <c r="L140" s="25"/>
      <c r="M140" s="25"/>
      <c r="N140" s="21"/>
      <c r="O140" s="22" t="s">
        <v>328</v>
      </c>
    </row>
    <row r="141" customFormat="false" ht="14.25" hidden="false" customHeight="false" outlineLevel="0" collapsed="false">
      <c r="A141" s="10" t="n">
        <v>139</v>
      </c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6"/>
    </row>
    <row r="142" customFormat="false" ht="26.25" hidden="false" customHeight="true" outlineLevel="0" collapsed="false">
      <c r="A142" s="10" t="n">
        <v>135</v>
      </c>
      <c r="B142" s="11" t="s">
        <v>297</v>
      </c>
      <c r="C142" s="11" t="s">
        <v>322</v>
      </c>
      <c r="D142" s="12" t="s">
        <v>329</v>
      </c>
      <c r="E142" s="13" t="s">
        <v>30</v>
      </c>
      <c r="F142" s="13"/>
      <c r="G142" s="13"/>
      <c r="H142" s="13"/>
      <c r="I142" s="13"/>
      <c r="J142" s="57" t="s">
        <v>330</v>
      </c>
      <c r="K142" s="18" t="s">
        <v>331</v>
      </c>
      <c r="L142" s="19"/>
      <c r="M142" s="19"/>
      <c r="N142" s="11"/>
      <c r="O142" s="12" t="s">
        <v>332</v>
      </c>
    </row>
    <row r="143" customFormat="false" ht="14.25" hidden="false" customHeight="false" outlineLevel="0" collapsed="false">
      <c r="A143" s="9" t="s">
        <v>333</v>
      </c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6"/>
    </row>
    <row r="144" customFormat="false" ht="14.25" hidden="false" customHeight="false" outlineLevel="0" collapsed="false">
      <c r="A144" s="30" t="n">
        <v>136</v>
      </c>
      <c r="B144" s="21" t="s">
        <v>334</v>
      </c>
      <c r="C144" s="21" t="s">
        <v>28</v>
      </c>
      <c r="D144" s="22" t="s">
        <v>335</v>
      </c>
      <c r="E144" s="27" t="s">
        <v>30</v>
      </c>
      <c r="F144" s="27"/>
      <c r="G144" s="27"/>
      <c r="H144" s="27"/>
      <c r="I144" s="27"/>
      <c r="J144" s="54" t="s">
        <v>336</v>
      </c>
      <c r="K144" s="24"/>
      <c r="L144" s="25"/>
      <c r="M144" s="25"/>
      <c r="N144" s="21"/>
      <c r="O144" s="22" t="s">
        <v>337</v>
      </c>
    </row>
    <row r="145" customFormat="false" ht="14.25" hidden="false" customHeight="false" outlineLevel="0" collapsed="false">
      <c r="A145" s="10" t="n">
        <v>137</v>
      </c>
      <c r="B145" s="11" t="s">
        <v>334</v>
      </c>
      <c r="C145" s="11" t="s">
        <v>28</v>
      </c>
      <c r="D145" s="12" t="s">
        <v>338</v>
      </c>
      <c r="E145" s="13" t="s">
        <v>30</v>
      </c>
      <c r="F145" s="13"/>
      <c r="G145" s="13"/>
      <c r="H145" s="13"/>
      <c r="I145" s="13"/>
      <c r="J145" s="57" t="s">
        <v>339</v>
      </c>
      <c r="K145" s="18"/>
      <c r="L145" s="19"/>
      <c r="M145" s="19"/>
      <c r="N145" s="11"/>
      <c r="O145" s="12" t="s">
        <v>340</v>
      </c>
    </row>
    <row r="146" customFormat="false" ht="14.25" hidden="false" customHeight="false" outlineLevel="0" collapsed="false">
      <c r="A146" s="30" t="n">
        <v>138</v>
      </c>
      <c r="B146" s="21" t="s">
        <v>334</v>
      </c>
      <c r="C146" s="21" t="s">
        <v>28</v>
      </c>
      <c r="D146" s="22" t="s">
        <v>341</v>
      </c>
      <c r="E146" s="27" t="s">
        <v>30</v>
      </c>
      <c r="F146" s="27"/>
      <c r="G146" s="27"/>
      <c r="H146" s="27"/>
      <c r="I146" s="27"/>
      <c r="J146" s="54" t="s">
        <v>342</v>
      </c>
      <c r="K146" s="24"/>
      <c r="L146" s="25"/>
      <c r="M146" s="25"/>
      <c r="N146" s="21"/>
      <c r="O146" s="22"/>
    </row>
    <row r="147" customFormat="false" ht="14.25" hidden="false" customHeight="false" outlineLevel="0" collapsed="false">
      <c r="A147" s="10" t="n">
        <v>139</v>
      </c>
      <c r="B147" s="11" t="s">
        <v>334</v>
      </c>
      <c r="C147" s="11" t="s">
        <v>28</v>
      </c>
      <c r="D147" s="12" t="s">
        <v>343</v>
      </c>
      <c r="E147" s="13" t="s">
        <v>30</v>
      </c>
      <c r="F147" s="13"/>
      <c r="G147" s="13"/>
      <c r="H147" s="13"/>
      <c r="I147" s="13"/>
      <c r="J147" s="57" t="s">
        <v>344</v>
      </c>
      <c r="K147" s="18"/>
      <c r="L147" s="19"/>
      <c r="M147" s="19"/>
      <c r="N147" s="11"/>
      <c r="O147" s="12" t="s">
        <v>345</v>
      </c>
    </row>
    <row r="148" customFormat="false" ht="14.25" hidden="false" customHeight="false" outlineLevel="0" collapsed="false">
      <c r="A148" s="30" t="n">
        <v>140</v>
      </c>
      <c r="B148" s="21" t="s">
        <v>334</v>
      </c>
      <c r="C148" s="21" t="s">
        <v>28</v>
      </c>
      <c r="D148" s="22" t="s">
        <v>346</v>
      </c>
      <c r="E148" s="27" t="s">
        <v>30</v>
      </c>
      <c r="F148" s="27"/>
      <c r="G148" s="27"/>
      <c r="H148" s="27"/>
      <c r="I148" s="27"/>
      <c r="J148" s="54" t="s">
        <v>347</v>
      </c>
      <c r="K148" s="24"/>
      <c r="L148" s="25"/>
      <c r="M148" s="25"/>
      <c r="N148" s="21"/>
      <c r="O148" s="22"/>
    </row>
    <row r="149" customFormat="false" ht="14.25" hidden="false" customHeight="false" outlineLevel="0" collapsed="false">
      <c r="A149" s="10" t="n">
        <v>141</v>
      </c>
      <c r="B149" s="11" t="s">
        <v>334</v>
      </c>
      <c r="C149" s="11" t="s">
        <v>28</v>
      </c>
      <c r="D149" s="12" t="s">
        <v>348</v>
      </c>
      <c r="E149" s="13" t="s">
        <v>30</v>
      </c>
      <c r="F149" s="13"/>
      <c r="G149" s="13"/>
      <c r="H149" s="13"/>
      <c r="I149" s="13"/>
      <c r="J149" s="57" t="s">
        <v>349</v>
      </c>
      <c r="K149" s="18"/>
      <c r="L149" s="19"/>
      <c r="M149" s="19"/>
      <c r="N149" s="11"/>
      <c r="O149" s="12"/>
    </row>
    <row r="150" customFormat="false" ht="15" hidden="false" customHeight="true" outlineLevel="0" collapsed="false">
      <c r="A150" s="58"/>
      <c r="B150" s="58"/>
      <c r="C150" s="58"/>
      <c r="D150" s="59" t="s">
        <v>350</v>
      </c>
      <c r="E150" s="58"/>
      <c r="L150" s="60" t="n">
        <f aca="false">SUM(L6:L149)</f>
        <v>55875</v>
      </c>
      <c r="M150" s="60" t="n">
        <f aca="false">SUM(M6:M149)</f>
        <v>35475</v>
      </c>
      <c r="N150" s="58"/>
      <c r="O150" s="58"/>
    </row>
    <row r="151" customFormat="false" ht="14.25" hidden="false" customHeight="false" outlineLevel="0" collapsed="false">
      <c r="A151" s="9" t="s">
        <v>351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</row>
    <row r="152" customFormat="false" ht="14.25" hidden="false" customHeight="false" outlineLevel="0" collapsed="false">
      <c r="A152" s="10" t="n">
        <v>15</v>
      </c>
      <c r="B152" s="11" t="s">
        <v>352</v>
      </c>
      <c r="C152" s="11" t="s">
        <v>353</v>
      </c>
      <c r="D152" s="12" t="s">
        <v>354</v>
      </c>
      <c r="E152" s="20" t="s">
        <v>39</v>
      </c>
      <c r="F152" s="20"/>
      <c r="G152" s="20"/>
      <c r="H152" s="20"/>
      <c r="I152" s="20"/>
      <c r="J152" s="17" t="s">
        <v>31</v>
      </c>
      <c r="K152" s="18"/>
      <c r="L152" s="19" t="n">
        <v>30297</v>
      </c>
      <c r="M152" s="19" t="n">
        <v>0</v>
      </c>
      <c r="N152" s="11"/>
      <c r="O152" s="12" t="s">
        <v>355</v>
      </c>
    </row>
    <row r="153" customFormat="false" ht="14.25" hidden="false" customHeight="false" outlineLevel="0" collapsed="false">
      <c r="A153" s="30" t="n">
        <v>16</v>
      </c>
      <c r="B153" s="21" t="s">
        <v>352</v>
      </c>
      <c r="C153" s="21" t="s">
        <v>353</v>
      </c>
      <c r="D153" s="22" t="s">
        <v>356</v>
      </c>
      <c r="E153" s="31" t="s">
        <v>39</v>
      </c>
      <c r="F153" s="31"/>
      <c r="G153" s="31"/>
      <c r="H153" s="31"/>
      <c r="I153" s="31"/>
      <c r="J153" s="23" t="s">
        <v>31</v>
      </c>
      <c r="K153" s="24"/>
      <c r="L153" s="25"/>
      <c r="M153" s="25"/>
      <c r="N153" s="21"/>
      <c r="O153" s="22"/>
    </row>
    <row r="154" customFormat="false" ht="14.25" hidden="false" customHeight="false" outlineLevel="0" collapsed="false">
      <c r="A154" s="10" t="n">
        <v>17</v>
      </c>
      <c r="B154" s="11" t="s">
        <v>352</v>
      </c>
      <c r="C154" s="11" t="s">
        <v>353</v>
      </c>
      <c r="D154" s="12" t="s">
        <v>357</v>
      </c>
      <c r="E154" s="20" t="s">
        <v>39</v>
      </c>
      <c r="F154" s="20"/>
      <c r="G154" s="20"/>
      <c r="H154" s="20"/>
      <c r="I154" s="20"/>
      <c r="J154" s="17" t="s">
        <v>31</v>
      </c>
      <c r="K154" s="18"/>
      <c r="L154" s="19"/>
      <c r="M154" s="19"/>
      <c r="N154" s="11"/>
      <c r="O154" s="12" t="s">
        <v>358</v>
      </c>
    </row>
    <row r="155" customFormat="false" ht="14.25" hidden="false" customHeight="false" outlineLevel="0" collapsed="false">
      <c r="A155" s="30" t="n">
        <v>18</v>
      </c>
      <c r="B155" s="21" t="s">
        <v>352</v>
      </c>
      <c r="C155" s="21" t="s">
        <v>353</v>
      </c>
      <c r="D155" s="22" t="s">
        <v>359</v>
      </c>
      <c r="E155" s="27" t="s">
        <v>30</v>
      </c>
      <c r="F155" s="27"/>
      <c r="G155" s="27"/>
      <c r="H155" s="27"/>
      <c r="I155" s="27"/>
      <c r="J155" s="38" t="s">
        <v>360</v>
      </c>
      <c r="K155" s="24" t="s">
        <v>123</v>
      </c>
      <c r="L155" s="25"/>
      <c r="M155" s="25"/>
      <c r="N155" s="21"/>
      <c r="O155" s="22" t="s">
        <v>361</v>
      </c>
    </row>
    <row r="156" customFormat="false" ht="14.25" hidden="false" customHeight="false" outlineLevel="0" collapsed="false">
      <c r="A156" s="10" t="n">
        <v>19</v>
      </c>
      <c r="B156" s="11" t="s">
        <v>352</v>
      </c>
      <c r="C156" s="11" t="s">
        <v>353</v>
      </c>
      <c r="D156" s="12" t="s">
        <v>362</v>
      </c>
      <c r="E156" s="13" t="s">
        <v>30</v>
      </c>
      <c r="F156" s="13"/>
      <c r="G156" s="13"/>
      <c r="H156" s="13"/>
      <c r="I156" s="13"/>
      <c r="J156" s="33" t="s">
        <v>360</v>
      </c>
      <c r="K156" s="18" t="s">
        <v>123</v>
      </c>
      <c r="L156" s="19"/>
      <c r="M156" s="19"/>
      <c r="N156" s="11"/>
      <c r="O156" s="12" t="s">
        <v>363</v>
      </c>
    </row>
    <row r="157" customFormat="false" ht="14.25" hidden="false" customHeight="false" outlineLevel="0" collapsed="false">
      <c r="A157" s="30" t="n">
        <v>20</v>
      </c>
      <c r="B157" s="21" t="s">
        <v>352</v>
      </c>
      <c r="C157" s="21" t="s">
        <v>364</v>
      </c>
      <c r="D157" s="22" t="s">
        <v>365</v>
      </c>
      <c r="E157" s="31" t="s">
        <v>39</v>
      </c>
      <c r="F157" s="31"/>
      <c r="G157" s="31"/>
      <c r="H157" s="31"/>
      <c r="I157" s="31"/>
      <c r="J157" s="23" t="s">
        <v>31</v>
      </c>
      <c r="K157" s="24"/>
      <c r="L157" s="25"/>
      <c r="M157" s="25"/>
      <c r="N157" s="21"/>
      <c r="O157" s="22"/>
    </row>
    <row r="158" customFormat="false" ht="14.25" hidden="false" customHeight="false" outlineLevel="0" collapsed="false">
      <c r="A158" s="10" t="n">
        <v>21</v>
      </c>
      <c r="B158" s="11" t="s">
        <v>352</v>
      </c>
      <c r="C158" s="11" t="s">
        <v>364</v>
      </c>
      <c r="D158" s="12" t="s">
        <v>366</v>
      </c>
      <c r="E158" s="13" t="s">
        <v>30</v>
      </c>
      <c r="F158" s="13"/>
      <c r="G158" s="13"/>
      <c r="H158" s="13"/>
      <c r="I158" s="13"/>
      <c r="J158" s="33" t="s">
        <v>367</v>
      </c>
      <c r="K158" s="18" t="s">
        <v>368</v>
      </c>
      <c r="L158" s="19"/>
      <c r="M158" s="19"/>
      <c r="N158" s="11"/>
      <c r="O158" s="12" t="s">
        <v>369</v>
      </c>
    </row>
    <row r="159" customFormat="false" ht="14.25" hidden="false" customHeight="false" outlineLevel="0" collapsed="false">
      <c r="A159" s="30" t="n">
        <v>22</v>
      </c>
      <c r="B159" s="21" t="s">
        <v>352</v>
      </c>
      <c r="C159" s="21" t="s">
        <v>364</v>
      </c>
      <c r="D159" s="22" t="s">
        <v>370</v>
      </c>
      <c r="E159" s="27" t="s">
        <v>30</v>
      </c>
      <c r="F159" s="27"/>
      <c r="G159" s="27"/>
      <c r="H159" s="27"/>
      <c r="I159" s="27"/>
      <c r="J159" s="38" t="s">
        <v>367</v>
      </c>
      <c r="K159" s="24" t="s">
        <v>123</v>
      </c>
      <c r="L159" s="25"/>
      <c r="M159" s="25"/>
      <c r="N159" s="21"/>
      <c r="O159" s="22"/>
    </row>
    <row r="160" customFormat="false" ht="14.25" hidden="false" customHeight="false" outlineLevel="0" collapsed="false">
      <c r="A160" s="10" t="n">
        <v>23</v>
      </c>
      <c r="B160" s="11" t="s">
        <v>352</v>
      </c>
      <c r="C160" s="11" t="s">
        <v>364</v>
      </c>
      <c r="D160" s="12" t="s">
        <v>371</v>
      </c>
      <c r="E160" s="13" t="s">
        <v>30</v>
      </c>
      <c r="F160" s="13"/>
      <c r="G160" s="13"/>
      <c r="H160" s="13"/>
      <c r="I160" s="13"/>
      <c r="J160" s="57" t="s">
        <v>344</v>
      </c>
      <c r="K160" s="18"/>
      <c r="L160" s="19"/>
      <c r="M160" s="19"/>
      <c r="N160" s="11"/>
      <c r="O160" s="12" t="s">
        <v>372</v>
      </c>
    </row>
    <row r="161" customFormat="false" ht="14.25" hidden="false" customHeight="false" outlineLevel="0" collapsed="false">
      <c r="A161" s="30" t="n">
        <v>24</v>
      </c>
      <c r="B161" s="21" t="s">
        <v>352</v>
      </c>
      <c r="C161" s="21" t="s">
        <v>364</v>
      </c>
      <c r="D161" s="22" t="s">
        <v>373</v>
      </c>
      <c r="E161" s="31" t="s">
        <v>39</v>
      </c>
      <c r="F161" s="31"/>
      <c r="G161" s="31"/>
      <c r="H161" s="31"/>
      <c r="I161" s="31"/>
      <c r="J161" s="23" t="s">
        <v>31</v>
      </c>
      <c r="K161" s="24"/>
      <c r="L161" s="25"/>
      <c r="M161" s="25"/>
      <c r="N161" s="21"/>
      <c r="O161" s="22" t="s">
        <v>374</v>
      </c>
    </row>
    <row r="162" customFormat="false" ht="26.25" hidden="false" customHeight="true" outlineLevel="0" collapsed="false">
      <c r="A162" s="10" t="n">
        <v>25</v>
      </c>
      <c r="B162" s="11" t="s">
        <v>352</v>
      </c>
      <c r="C162" s="11" t="s">
        <v>375</v>
      </c>
      <c r="D162" s="12" t="s">
        <v>376</v>
      </c>
      <c r="E162" s="20" t="s">
        <v>39</v>
      </c>
      <c r="F162" s="20"/>
      <c r="G162" s="20"/>
      <c r="H162" s="20"/>
      <c r="I162" s="20"/>
      <c r="J162" s="17" t="s">
        <v>31</v>
      </c>
      <c r="K162" s="18"/>
      <c r="L162" s="19" t="n">
        <v>19825.36</v>
      </c>
      <c r="M162" s="19" t="n">
        <v>0</v>
      </c>
      <c r="N162" s="11"/>
      <c r="O162" s="12" t="s">
        <v>377</v>
      </c>
    </row>
    <row r="163" customFormat="false" ht="14.25" hidden="false" customHeight="false" outlineLevel="0" collapsed="false">
      <c r="A163" s="30" t="n">
        <v>26</v>
      </c>
      <c r="B163" s="21" t="s">
        <v>352</v>
      </c>
      <c r="C163" s="21" t="s">
        <v>375</v>
      </c>
      <c r="D163" s="22" t="s">
        <v>378</v>
      </c>
      <c r="E163" s="31" t="s">
        <v>39</v>
      </c>
      <c r="F163" s="31"/>
      <c r="G163" s="31"/>
      <c r="H163" s="31"/>
      <c r="I163" s="31"/>
      <c r="J163" s="23" t="s">
        <v>31</v>
      </c>
      <c r="K163" s="24"/>
      <c r="L163" s="25"/>
      <c r="M163" s="25"/>
      <c r="N163" s="21"/>
      <c r="O163" s="22" t="s">
        <v>379</v>
      </c>
    </row>
    <row r="164" customFormat="false" ht="26.25" hidden="false" customHeight="true" outlineLevel="0" collapsed="false">
      <c r="A164" s="10" t="n">
        <v>27</v>
      </c>
      <c r="B164" s="11" t="s">
        <v>352</v>
      </c>
      <c r="C164" s="11" t="s">
        <v>375</v>
      </c>
      <c r="D164" s="12" t="s">
        <v>380</v>
      </c>
      <c r="E164" s="13" t="s">
        <v>30</v>
      </c>
      <c r="F164" s="13"/>
      <c r="G164" s="13"/>
      <c r="H164" s="13"/>
      <c r="I164" s="13"/>
      <c r="J164" s="13" t="s">
        <v>381</v>
      </c>
      <c r="K164" s="18" t="s">
        <v>53</v>
      </c>
      <c r="L164" s="19"/>
      <c r="M164" s="19"/>
      <c r="N164" s="11"/>
      <c r="O164" s="12" t="s">
        <v>382</v>
      </c>
    </row>
    <row r="165" customFormat="false" ht="26.25" hidden="false" customHeight="true" outlineLevel="0" collapsed="false">
      <c r="A165" s="30" t="n">
        <v>28</v>
      </c>
      <c r="B165" s="21" t="s">
        <v>352</v>
      </c>
      <c r="C165" s="21" t="s">
        <v>375</v>
      </c>
      <c r="D165" s="22" t="s">
        <v>383</v>
      </c>
      <c r="E165" s="27" t="s">
        <v>30</v>
      </c>
      <c r="F165" s="27"/>
      <c r="G165" s="27"/>
      <c r="H165" s="27"/>
      <c r="I165" s="27"/>
      <c r="J165" s="27" t="s">
        <v>381</v>
      </c>
      <c r="K165" s="24" t="s">
        <v>53</v>
      </c>
      <c r="L165" s="25"/>
      <c r="M165" s="25"/>
      <c r="N165" s="21"/>
      <c r="O165" s="22" t="s">
        <v>384</v>
      </c>
    </row>
    <row r="166" customFormat="false" ht="14.25" hidden="false" customHeight="false" outlineLevel="0" collapsed="false">
      <c r="A166" s="10" t="n">
        <v>29</v>
      </c>
      <c r="B166" s="11" t="s">
        <v>352</v>
      </c>
      <c r="C166" s="11" t="s">
        <v>375</v>
      </c>
      <c r="D166" s="12" t="s">
        <v>385</v>
      </c>
      <c r="E166" s="13" t="s">
        <v>30</v>
      </c>
      <c r="F166" s="13"/>
      <c r="G166" s="13"/>
      <c r="H166" s="13"/>
      <c r="I166" s="13"/>
      <c r="J166" s="57" t="s">
        <v>386</v>
      </c>
      <c r="K166" s="18"/>
      <c r="L166" s="19"/>
      <c r="M166" s="19"/>
      <c r="N166" s="11"/>
      <c r="O166" s="12"/>
    </row>
    <row r="167" customFormat="false" ht="52.5" hidden="false" customHeight="true" outlineLevel="0" collapsed="false">
      <c r="A167" s="30" t="n">
        <v>30</v>
      </c>
      <c r="B167" s="21" t="s">
        <v>352</v>
      </c>
      <c r="C167" s="21" t="s">
        <v>375</v>
      </c>
      <c r="D167" s="22" t="s">
        <v>387</v>
      </c>
      <c r="E167" s="27" t="s">
        <v>30</v>
      </c>
      <c r="F167" s="27"/>
      <c r="G167" s="27"/>
      <c r="H167" s="27"/>
      <c r="I167" s="27"/>
      <c r="J167" s="38" t="s">
        <v>388</v>
      </c>
      <c r="K167" s="24" t="s">
        <v>389</v>
      </c>
      <c r="L167" s="25" t="n">
        <v>7500</v>
      </c>
      <c r="M167" s="25" t="n">
        <v>4500</v>
      </c>
      <c r="N167" s="21"/>
      <c r="O167" s="22" t="s">
        <v>390</v>
      </c>
    </row>
    <row r="168" customFormat="false" ht="26.25" hidden="false" customHeight="true" outlineLevel="0" collapsed="false">
      <c r="A168" s="10" t="n">
        <v>31</v>
      </c>
      <c r="B168" s="11" t="s">
        <v>352</v>
      </c>
      <c r="C168" s="11" t="s">
        <v>375</v>
      </c>
      <c r="D168" s="12" t="s">
        <v>391</v>
      </c>
      <c r="E168" s="13" t="s">
        <v>30</v>
      </c>
      <c r="F168" s="13"/>
      <c r="G168" s="13"/>
      <c r="H168" s="13"/>
      <c r="I168" s="13"/>
      <c r="J168" s="57" t="s">
        <v>386</v>
      </c>
      <c r="K168" s="18" t="s">
        <v>279</v>
      </c>
      <c r="L168" s="19"/>
      <c r="M168" s="19"/>
      <c r="N168" s="11"/>
      <c r="O168" s="12" t="s">
        <v>392</v>
      </c>
    </row>
    <row r="169" customFormat="false" ht="14.25" hidden="false" customHeight="false" outlineLevel="0" collapsed="false">
      <c r="A169" s="30" t="n">
        <v>32</v>
      </c>
      <c r="B169" s="21" t="s">
        <v>352</v>
      </c>
      <c r="C169" s="21" t="s">
        <v>375</v>
      </c>
      <c r="D169" s="22" t="s">
        <v>393</v>
      </c>
      <c r="E169" s="27" t="s">
        <v>30</v>
      </c>
      <c r="F169" s="27"/>
      <c r="G169" s="27"/>
      <c r="H169" s="27"/>
      <c r="I169" s="27"/>
      <c r="J169" s="38" t="s">
        <v>388</v>
      </c>
      <c r="K169" s="24"/>
      <c r="L169" s="25"/>
      <c r="M169" s="25"/>
      <c r="N169" s="21"/>
      <c r="O169" s="22" t="s">
        <v>394</v>
      </c>
    </row>
    <row r="170" customFormat="false" ht="78.75" hidden="false" customHeight="true" outlineLevel="0" collapsed="false">
      <c r="A170" s="10" t="n">
        <v>33</v>
      </c>
      <c r="B170" s="11" t="s">
        <v>352</v>
      </c>
      <c r="C170" s="11" t="s">
        <v>395</v>
      </c>
      <c r="D170" s="12" t="s">
        <v>396</v>
      </c>
      <c r="E170" s="33" t="s">
        <v>81</v>
      </c>
      <c r="F170" s="33"/>
      <c r="G170" s="33"/>
      <c r="H170" s="33"/>
      <c r="I170" s="33"/>
      <c r="J170" s="13" t="s">
        <v>397</v>
      </c>
      <c r="K170" s="18" t="s">
        <v>398</v>
      </c>
      <c r="L170" s="19" t="n">
        <v>10000</v>
      </c>
      <c r="M170" s="19" t="n">
        <v>10000</v>
      </c>
      <c r="N170" s="11"/>
      <c r="O170" s="12" t="s">
        <v>399</v>
      </c>
    </row>
    <row r="171" customFormat="false" ht="14.25" hidden="false" customHeight="false" outlineLevel="0" collapsed="false">
      <c r="A171" s="30" t="n">
        <v>34</v>
      </c>
      <c r="B171" s="21" t="s">
        <v>352</v>
      </c>
      <c r="C171" s="21" t="s">
        <v>395</v>
      </c>
      <c r="D171" s="22" t="s">
        <v>400</v>
      </c>
      <c r="E171" s="27" t="s">
        <v>30</v>
      </c>
      <c r="F171" s="27"/>
      <c r="G171" s="27"/>
      <c r="H171" s="27"/>
      <c r="I171" s="27"/>
      <c r="J171" s="38" t="s">
        <v>401</v>
      </c>
      <c r="K171" s="24" t="s">
        <v>368</v>
      </c>
      <c r="L171" s="25"/>
      <c r="M171" s="25"/>
      <c r="N171" s="21"/>
      <c r="O171" s="22" t="s">
        <v>402</v>
      </c>
    </row>
    <row r="172" customFormat="false" ht="26.25" hidden="false" customHeight="true" outlineLevel="0" collapsed="false">
      <c r="A172" s="10" t="n">
        <v>35</v>
      </c>
      <c r="B172" s="11" t="s">
        <v>352</v>
      </c>
      <c r="C172" s="11" t="s">
        <v>395</v>
      </c>
      <c r="D172" s="12" t="s">
        <v>403</v>
      </c>
      <c r="E172" s="13" t="s">
        <v>30</v>
      </c>
      <c r="F172" s="13"/>
      <c r="G172" s="13"/>
      <c r="H172" s="13"/>
      <c r="I172" s="13"/>
      <c r="J172" s="33" t="s">
        <v>401</v>
      </c>
      <c r="K172" s="18"/>
      <c r="L172" s="19" t="n">
        <v>3000</v>
      </c>
      <c r="M172" s="19" t="n">
        <v>3000</v>
      </c>
      <c r="N172" s="11"/>
      <c r="O172" s="12" t="s">
        <v>404</v>
      </c>
    </row>
    <row r="173" customFormat="false" ht="78.75" hidden="false" customHeight="true" outlineLevel="0" collapsed="false">
      <c r="A173" s="30" t="n">
        <v>36</v>
      </c>
      <c r="B173" s="21" t="s">
        <v>352</v>
      </c>
      <c r="C173" s="21" t="s">
        <v>395</v>
      </c>
      <c r="D173" s="22" t="s">
        <v>405</v>
      </c>
      <c r="E173" s="27" t="s">
        <v>30</v>
      </c>
      <c r="F173" s="27"/>
      <c r="G173" s="27"/>
      <c r="H173" s="27"/>
      <c r="I173" s="27"/>
      <c r="J173" s="38" t="s">
        <v>406</v>
      </c>
      <c r="K173" s="24" t="s">
        <v>398</v>
      </c>
      <c r="L173" s="25" t="n">
        <v>2000</v>
      </c>
      <c r="M173" s="25" t="n">
        <v>1500</v>
      </c>
      <c r="N173" s="21" t="s">
        <v>175</v>
      </c>
      <c r="O173" s="22" t="s">
        <v>407</v>
      </c>
    </row>
    <row r="174" customFormat="false" ht="52.5" hidden="false" customHeight="true" outlineLevel="0" collapsed="false">
      <c r="A174" s="10" t="n">
        <v>37</v>
      </c>
      <c r="B174" s="11" t="s">
        <v>352</v>
      </c>
      <c r="C174" s="11" t="s">
        <v>395</v>
      </c>
      <c r="D174" s="12" t="s">
        <v>408</v>
      </c>
      <c r="E174" s="13" t="s">
        <v>30</v>
      </c>
      <c r="F174" s="13"/>
      <c r="G174" s="13"/>
      <c r="H174" s="13"/>
      <c r="I174" s="13"/>
      <c r="J174" s="33" t="s">
        <v>409</v>
      </c>
      <c r="K174" s="18" t="s">
        <v>410</v>
      </c>
      <c r="L174" s="19"/>
      <c r="M174" s="19"/>
      <c r="N174" s="11"/>
      <c r="O174" s="12" t="s">
        <v>411</v>
      </c>
    </row>
    <row r="175" customFormat="false" ht="26.25" hidden="false" customHeight="true" outlineLevel="0" collapsed="false">
      <c r="A175" s="30" t="n">
        <v>38</v>
      </c>
      <c r="B175" s="21" t="s">
        <v>352</v>
      </c>
      <c r="C175" s="21" t="s">
        <v>412</v>
      </c>
      <c r="D175" s="22" t="s">
        <v>413</v>
      </c>
      <c r="E175" s="27" t="s">
        <v>30</v>
      </c>
      <c r="F175" s="27"/>
      <c r="G175" s="27"/>
      <c r="H175" s="27"/>
      <c r="I175" s="27"/>
      <c r="J175" s="27" t="s">
        <v>414</v>
      </c>
      <c r="K175" s="24" t="s">
        <v>53</v>
      </c>
      <c r="L175" s="25"/>
      <c r="M175" s="25" t="n">
        <v>2500</v>
      </c>
      <c r="N175" s="21"/>
      <c r="O175" s="22" t="s">
        <v>415</v>
      </c>
    </row>
    <row r="176" customFormat="false" ht="39" hidden="false" customHeight="true" outlineLevel="0" collapsed="false">
      <c r="A176" s="10" t="n">
        <v>39</v>
      </c>
      <c r="B176" s="11" t="s">
        <v>352</v>
      </c>
      <c r="C176" s="11" t="s">
        <v>412</v>
      </c>
      <c r="D176" s="12" t="s">
        <v>416</v>
      </c>
      <c r="E176" s="13" t="s">
        <v>30</v>
      </c>
      <c r="F176" s="13"/>
      <c r="G176" s="13"/>
      <c r="H176" s="13"/>
      <c r="I176" s="13"/>
      <c r="J176" s="13" t="s">
        <v>414</v>
      </c>
      <c r="K176" s="18" t="s">
        <v>53</v>
      </c>
      <c r="L176" s="19"/>
      <c r="M176" s="19"/>
      <c r="N176" s="11"/>
      <c r="O176" s="12" t="s">
        <v>417</v>
      </c>
    </row>
    <row r="177" customFormat="false" ht="26.25" hidden="false" customHeight="true" outlineLevel="0" collapsed="false">
      <c r="A177" s="30" t="n">
        <v>40</v>
      </c>
      <c r="B177" s="21" t="s">
        <v>352</v>
      </c>
      <c r="C177" s="21" t="s">
        <v>412</v>
      </c>
      <c r="D177" s="22" t="s">
        <v>418</v>
      </c>
      <c r="E177" s="27" t="s">
        <v>30</v>
      </c>
      <c r="F177" s="27"/>
      <c r="G177" s="27"/>
      <c r="H177" s="27"/>
      <c r="I177" s="27"/>
      <c r="J177" s="27" t="s">
        <v>414</v>
      </c>
      <c r="K177" s="24" t="s">
        <v>53</v>
      </c>
      <c r="L177" s="25"/>
      <c r="M177" s="25"/>
      <c r="N177" s="21"/>
      <c r="O177" s="22" t="s">
        <v>419</v>
      </c>
    </row>
    <row r="178" customFormat="false" ht="26.25" hidden="false" customHeight="true" outlineLevel="0" collapsed="false">
      <c r="A178" s="10" t="n">
        <v>41</v>
      </c>
      <c r="B178" s="11" t="s">
        <v>352</v>
      </c>
      <c r="C178" s="11" t="s">
        <v>412</v>
      </c>
      <c r="D178" s="12" t="s">
        <v>420</v>
      </c>
      <c r="E178" s="13" t="s">
        <v>30</v>
      </c>
      <c r="F178" s="13"/>
      <c r="G178" s="13"/>
      <c r="H178" s="13"/>
      <c r="I178" s="13"/>
      <c r="J178" s="57" t="s">
        <v>421</v>
      </c>
      <c r="K178" s="18" t="s">
        <v>368</v>
      </c>
      <c r="L178" s="19"/>
      <c r="M178" s="19"/>
      <c r="N178" s="11"/>
      <c r="O178" s="12" t="s">
        <v>422</v>
      </c>
    </row>
    <row r="179" customFormat="false" ht="14.25" hidden="false" customHeight="false" outlineLevel="0" collapsed="false">
      <c r="A179" s="30" t="n">
        <v>42</v>
      </c>
      <c r="B179" s="21" t="s">
        <v>352</v>
      </c>
      <c r="C179" s="21" t="s">
        <v>412</v>
      </c>
      <c r="D179" s="22" t="s">
        <v>423</v>
      </c>
      <c r="E179" s="27" t="s">
        <v>30</v>
      </c>
      <c r="F179" s="27"/>
      <c r="G179" s="27"/>
      <c r="H179" s="27"/>
      <c r="I179" s="27"/>
      <c r="J179" s="38" t="s">
        <v>424</v>
      </c>
      <c r="K179" s="24" t="s">
        <v>368</v>
      </c>
      <c r="L179" s="25"/>
      <c r="M179" s="25"/>
      <c r="N179" s="21"/>
      <c r="O179" s="22" t="s">
        <v>425</v>
      </c>
    </row>
    <row r="180" customFormat="false" ht="26.25" hidden="false" customHeight="true" outlineLevel="0" collapsed="false">
      <c r="A180" s="10" t="n">
        <v>43</v>
      </c>
      <c r="B180" s="11" t="s">
        <v>352</v>
      </c>
      <c r="C180" s="11" t="s">
        <v>412</v>
      </c>
      <c r="D180" s="12" t="s">
        <v>426</v>
      </c>
      <c r="E180" s="13" t="s">
        <v>30</v>
      </c>
      <c r="F180" s="13"/>
      <c r="G180" s="13"/>
      <c r="H180" s="13"/>
      <c r="I180" s="13"/>
      <c r="J180" s="33" t="s">
        <v>427</v>
      </c>
      <c r="K180" s="18" t="s">
        <v>368</v>
      </c>
      <c r="L180" s="19"/>
      <c r="M180" s="19" t="n">
        <v>500</v>
      </c>
      <c r="N180" s="11"/>
      <c r="O180" s="12" t="s">
        <v>428</v>
      </c>
    </row>
    <row r="181" customFormat="false" ht="14.25" hidden="false" customHeight="false" outlineLevel="0" collapsed="false">
      <c r="A181" s="30" t="n">
        <v>44</v>
      </c>
      <c r="B181" s="21" t="s">
        <v>352</v>
      </c>
      <c r="C181" s="21" t="s">
        <v>412</v>
      </c>
      <c r="D181" s="22" t="s">
        <v>429</v>
      </c>
      <c r="E181" s="27" t="s">
        <v>30</v>
      </c>
      <c r="F181" s="27"/>
      <c r="G181" s="27"/>
      <c r="H181" s="27"/>
      <c r="I181" s="27"/>
      <c r="J181" s="38" t="s">
        <v>427</v>
      </c>
      <c r="K181" s="24" t="s">
        <v>53</v>
      </c>
      <c r="L181" s="25"/>
      <c r="M181" s="25"/>
      <c r="N181" s="21"/>
      <c r="O181" s="22" t="s">
        <v>430</v>
      </c>
    </row>
    <row r="182" customFormat="false" ht="14.25" hidden="false" customHeight="false" outlineLevel="0" collapsed="false">
      <c r="A182" s="10" t="n">
        <v>45</v>
      </c>
      <c r="B182" s="11" t="s">
        <v>352</v>
      </c>
      <c r="C182" s="11" t="s">
        <v>412</v>
      </c>
      <c r="D182" s="12" t="s">
        <v>431</v>
      </c>
      <c r="E182" s="29" t="s">
        <v>126</v>
      </c>
      <c r="F182" s="29"/>
      <c r="G182" s="29"/>
      <c r="H182" s="29"/>
      <c r="I182" s="29"/>
      <c r="J182" s="17" t="s">
        <v>31</v>
      </c>
      <c r="K182" s="18"/>
      <c r="L182" s="19"/>
      <c r="M182" s="19"/>
      <c r="N182" s="11"/>
      <c r="O182" s="12"/>
    </row>
    <row r="183" customFormat="false" ht="14.25" hidden="false" customHeight="false" outlineLevel="0" collapsed="false">
      <c r="A183" s="30" t="n">
        <v>46</v>
      </c>
      <c r="B183" s="21" t="s">
        <v>352</v>
      </c>
      <c r="C183" s="21" t="s">
        <v>432</v>
      </c>
      <c r="D183" s="22" t="s">
        <v>433</v>
      </c>
      <c r="E183" s="50" t="s">
        <v>126</v>
      </c>
      <c r="F183" s="50"/>
      <c r="G183" s="50"/>
      <c r="H183" s="50"/>
      <c r="I183" s="50"/>
      <c r="J183" s="23" t="s">
        <v>31</v>
      </c>
      <c r="K183" s="24"/>
      <c r="L183" s="25"/>
      <c r="M183" s="25"/>
      <c r="N183" s="21"/>
      <c r="O183" s="22" t="s">
        <v>434</v>
      </c>
    </row>
    <row r="184" customFormat="false" ht="14.25" hidden="false" customHeight="false" outlineLevel="0" collapsed="false">
      <c r="A184" s="10" t="n">
        <v>47</v>
      </c>
      <c r="B184" s="11" t="s">
        <v>352</v>
      </c>
      <c r="C184" s="11" t="s">
        <v>435</v>
      </c>
      <c r="D184" s="12" t="s">
        <v>436</v>
      </c>
      <c r="E184" s="20" t="s">
        <v>39</v>
      </c>
      <c r="F184" s="20"/>
      <c r="G184" s="20"/>
      <c r="H184" s="20"/>
      <c r="I184" s="20"/>
      <c r="J184" s="17" t="s">
        <v>31</v>
      </c>
      <c r="K184" s="18"/>
      <c r="L184" s="19"/>
      <c r="M184" s="19"/>
      <c r="N184" s="11"/>
      <c r="O184" s="12"/>
    </row>
    <row r="185" customFormat="false" ht="14.25" hidden="false" customHeight="false" outlineLevel="0" collapsed="false">
      <c r="A185" s="30" t="n">
        <v>48</v>
      </c>
      <c r="B185" s="21" t="s">
        <v>352</v>
      </c>
      <c r="C185" s="21" t="s">
        <v>435</v>
      </c>
      <c r="D185" s="22" t="s">
        <v>437</v>
      </c>
      <c r="E185" s="27" t="s">
        <v>30</v>
      </c>
      <c r="F185" s="27"/>
      <c r="G185" s="27"/>
      <c r="H185" s="27"/>
      <c r="I185" s="27"/>
      <c r="J185" s="54" t="s">
        <v>386</v>
      </c>
      <c r="K185" s="24"/>
      <c r="L185" s="25"/>
      <c r="M185" s="25"/>
      <c r="N185" s="21"/>
      <c r="O185" s="22" t="s">
        <v>438</v>
      </c>
    </row>
    <row r="186" customFormat="false" ht="14.25" hidden="false" customHeight="false" outlineLevel="0" collapsed="false">
      <c r="A186" s="10" t="n">
        <v>49</v>
      </c>
      <c r="B186" s="11" t="s">
        <v>352</v>
      </c>
      <c r="C186" s="11" t="s">
        <v>273</v>
      </c>
      <c r="D186" s="12" t="s">
        <v>439</v>
      </c>
      <c r="E186" s="13" t="s">
        <v>30</v>
      </c>
      <c r="F186" s="13"/>
      <c r="G186" s="13"/>
      <c r="H186" s="13"/>
      <c r="I186" s="13"/>
      <c r="J186" s="33" t="s">
        <v>131</v>
      </c>
      <c r="K186" s="18"/>
      <c r="L186" s="19"/>
      <c r="M186" s="19"/>
      <c r="N186" s="11"/>
      <c r="O186" s="12" t="s">
        <v>440</v>
      </c>
    </row>
    <row r="187" customFormat="false" ht="14.25" hidden="false" customHeight="false" outlineLevel="0" collapsed="false">
      <c r="A187" s="30" t="n">
        <v>50</v>
      </c>
      <c r="B187" s="21" t="s">
        <v>352</v>
      </c>
      <c r="C187" s="21" t="s">
        <v>273</v>
      </c>
      <c r="D187" s="22" t="s">
        <v>441</v>
      </c>
      <c r="E187" s="27" t="s">
        <v>30</v>
      </c>
      <c r="F187" s="27"/>
      <c r="G187" s="27"/>
      <c r="H187" s="27"/>
      <c r="I187" s="27"/>
      <c r="J187" s="54" t="s">
        <v>386</v>
      </c>
      <c r="K187" s="24"/>
      <c r="L187" s="25"/>
      <c r="M187" s="25"/>
      <c r="N187" s="21"/>
      <c r="O187" s="22" t="s">
        <v>442</v>
      </c>
    </row>
    <row r="188" customFormat="false" ht="14.25" hidden="false" customHeight="false" outlineLevel="0" collapsed="false">
      <c r="A188" s="10" t="n">
        <v>51</v>
      </c>
      <c r="B188" s="11" t="s">
        <v>352</v>
      </c>
      <c r="C188" s="11" t="s">
        <v>273</v>
      </c>
      <c r="D188" s="12" t="s">
        <v>443</v>
      </c>
      <c r="E188" s="20" t="s">
        <v>39</v>
      </c>
      <c r="F188" s="20"/>
      <c r="G188" s="20"/>
      <c r="H188" s="20"/>
      <c r="I188" s="20"/>
      <c r="J188" s="17" t="s">
        <v>31</v>
      </c>
      <c r="K188" s="18"/>
      <c r="L188" s="19"/>
      <c r="M188" s="19"/>
      <c r="N188" s="11"/>
      <c r="O188" s="12" t="s">
        <v>444</v>
      </c>
    </row>
  </sheetData>
  <mergeCells count="8">
    <mergeCell ref="A6:O6"/>
    <mergeCell ref="A32:O32"/>
    <mergeCell ref="A46:O46"/>
    <mergeCell ref="A58:O58"/>
    <mergeCell ref="A103:O103"/>
    <mergeCell ref="A120:O120"/>
    <mergeCell ref="A137:O137"/>
    <mergeCell ref="A151:O151"/>
  </mergeCells>
  <dataValidations count="2">
    <dataValidation allowBlank="true" errorStyle="stop" operator="between" showDropDown="false" showErrorMessage="false" showInputMessage="false" sqref="E6:I6 E7:E84 E85:I149 E151:I188" type="list">
      <formula1>"Pending,In Progress,Complete,Not Needed"</formula1>
      <formula2>0</formula2>
    </dataValidation>
    <dataValidation allowBlank="true" errorStyle="stop" operator="between" showDropDown="false" showErrorMessage="false" showInputMessage="false" sqref="K6:K149 K151:K188" type="list">
      <formula1>"A,V,H,S,M,G,Sub,A + V,A + H,A / S,A / V,A &gt; V,V &gt; A,V+H / A,V / H / S,A / M,A / Sub"</formula1>
      <formula2>0</formula2>
    </dataValidation>
  </dataValidations>
  <hyperlinks>
    <hyperlink ref="O22" r:id="rId2" display="Residential-AlterationsAdditions"/>
    <hyperlink ref="O23" r:id="rId3" display="Mechanical"/>
    <hyperlink ref="O24" r:id="rId4" display="Please submit/upload plans in PDF format"/>
    <hyperlink ref="O25" r:id="rId5" display="Plumbing"/>
    <hyperlink ref="O26" r:id="rId6" display="Fences"/>
    <hyperlink ref="O27" r:id="rId7" display="Concrete, Patios, Decks, Slabs, Pavers Dec21.docx"/>
    <hyperlink ref="O28" r:id="rId8" display="Gazebo-Dec1.docx"/>
    <hyperlink ref="O29" r:id="rId9" display="Garage-Door-Replacemen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6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8" min="7" style="0" width="13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70"/>
    <col collapsed="false" customWidth="true" hidden="false" outlineLevel="0" max="12" min="12" style="0" width="2"/>
    <col collapsed="false" customWidth="true" hidden="false" outlineLevel="0" max="13" min="13" style="0" width="13"/>
    <col collapsed="false" customWidth="true" hidden="false" outlineLevel="0" max="14" min="14" style="0" width="30"/>
  </cols>
  <sheetData>
    <row r="1" customFormat="false" ht="17.35" hidden="false" customHeight="false" outlineLevel="0" collapsed="false">
      <c r="A1" s="61" t="s">
        <v>445</v>
      </c>
    </row>
    <row r="2" customFormat="false" ht="15" hidden="false" customHeight="false" outlineLevel="0" collapsed="false">
      <c r="A2" s="62" t="s">
        <v>446</v>
      </c>
    </row>
    <row r="3" customFormat="false" ht="15" hidden="false" customHeight="false" outlineLevel="0" collapsed="false">
      <c r="A3" s="4" t="s">
        <v>447</v>
      </c>
      <c r="C3" s="63" t="n">
        <v>46300</v>
      </c>
      <c r="D3" s="62" t="s">
        <v>448</v>
      </c>
    </row>
    <row r="5" customFormat="false" ht="15" hidden="false" customHeight="false" outlineLevel="0" collapsed="false">
      <c r="A5" s="64" t="s">
        <v>449</v>
      </c>
      <c r="B5" s="64" t="s">
        <v>11</v>
      </c>
      <c r="C5" s="64" t="s">
        <v>14</v>
      </c>
      <c r="D5" s="64" t="s">
        <v>450</v>
      </c>
      <c r="E5" s="64" t="s">
        <v>451</v>
      </c>
      <c r="F5" s="64" t="s">
        <v>452</v>
      </c>
      <c r="G5" s="64" t="s">
        <v>453</v>
      </c>
      <c r="H5" s="64" t="s">
        <v>454</v>
      </c>
      <c r="I5" s="64" t="s">
        <v>455</v>
      </c>
      <c r="J5" s="64" t="s">
        <v>21</v>
      </c>
      <c r="K5" s="64" t="s">
        <v>456</v>
      </c>
      <c r="M5" s="65" t="s">
        <v>457</v>
      </c>
    </row>
    <row r="6" customFormat="false" ht="15" hidden="false" customHeight="false" outlineLevel="0" collapsed="false">
      <c r="A6" s="9" t="s">
        <v>26</v>
      </c>
      <c r="B6" s="66"/>
      <c r="C6" s="66"/>
      <c r="D6" s="66"/>
      <c r="E6" s="66"/>
      <c r="F6" s="66"/>
      <c r="G6" s="66"/>
      <c r="H6" s="66"/>
      <c r="I6" s="66"/>
      <c r="J6" s="66"/>
      <c r="K6" s="66"/>
      <c r="M6" s="67" t="n">
        <v>46337</v>
      </c>
      <c r="N6" s="68" t="s">
        <v>458</v>
      </c>
    </row>
    <row r="7" customFormat="false" ht="23.85" hidden="false" customHeight="false" outlineLevel="0" collapsed="false">
      <c r="A7" s="69" t="n">
        <v>8</v>
      </c>
      <c r="B7" s="70" t="n">
        <f aca="false">IF('Scope Checklist'!A8="","-",'Scope Checklist'!A8)</f>
        <v>2</v>
      </c>
      <c r="C7" s="71" t="str">
        <f aca="false">'Scope Checklist'!D8</f>
        <v>Determine specification sheets (Render)</v>
      </c>
      <c r="D7" s="12" t="s">
        <v>447</v>
      </c>
      <c r="E7" s="72" t="n">
        <v>0</v>
      </c>
      <c r="F7" s="72" t="n">
        <v>10</v>
      </c>
      <c r="G7" s="14" t="n">
        <f aca="false">$C$3</f>
        <v>46300</v>
      </c>
      <c r="H7" s="14" t="n">
        <f aca="false">WORKDAY(G7,F7-1,$M$6:$M$11)</f>
        <v>46311</v>
      </c>
      <c r="I7" s="72" t="n">
        <v>40</v>
      </c>
      <c r="J7" s="69" t="s">
        <v>53</v>
      </c>
      <c r="K7" s="12" t="s">
        <v>459</v>
      </c>
      <c r="M7" s="67" t="n">
        <v>46352</v>
      </c>
      <c r="N7" s="68" t="s">
        <v>460</v>
      </c>
    </row>
    <row r="8" customFormat="false" ht="15" hidden="false" customHeight="false" outlineLevel="0" collapsed="false">
      <c r="A8" s="69" t="n">
        <v>16</v>
      </c>
      <c r="B8" s="70" t="n">
        <f aca="false">IF('Scope Checklist'!A16="","-",'Scope Checklist'!A16)</f>
        <v>9</v>
      </c>
      <c r="C8" s="71" t="str">
        <f aca="false">'Scope Checklist'!D16</f>
        <v>Obtain access to Online Portal</v>
      </c>
      <c r="D8" s="12" t="s">
        <v>447</v>
      </c>
      <c r="E8" s="72" t="n">
        <v>0</v>
      </c>
      <c r="F8" s="72" t="n">
        <v>2</v>
      </c>
      <c r="G8" s="14" t="n">
        <f aca="false">$C$3</f>
        <v>46300</v>
      </c>
      <c r="H8" s="14" t="n">
        <f aca="false">WORKDAY(G8,F8-1,$M$6:$M$11)</f>
        <v>46301</v>
      </c>
      <c r="I8" s="72" t="n">
        <v>2</v>
      </c>
      <c r="J8" s="69" t="s">
        <v>53</v>
      </c>
      <c r="K8" s="12" t="s">
        <v>461</v>
      </c>
      <c r="M8" s="67" t="n">
        <v>46353</v>
      </c>
      <c r="N8" s="68" t="s">
        <v>462</v>
      </c>
    </row>
    <row r="9" customFormat="false" ht="23.85" hidden="false" customHeight="false" outlineLevel="0" collapsed="false">
      <c r="A9" s="69" t="n">
        <v>7</v>
      </c>
      <c r="B9" s="70" t="n">
        <f aca="false">IF('Scope Checklist'!A7="","-",'Scope Checklist'!A7)</f>
        <v>1</v>
      </c>
      <c r="C9" s="71" t="str">
        <f aca="false">'Scope Checklist'!D7</f>
        <v>Architecture &amp; Engineering design and proposal</v>
      </c>
      <c r="D9" s="12" t="s">
        <v>463</v>
      </c>
      <c r="E9" s="72" t="n">
        <v>5</v>
      </c>
      <c r="F9" s="72" t="n">
        <v>15</v>
      </c>
      <c r="G9" s="14" t="n">
        <f aca="false">WORKDAY(G7,E9,$M$6:$M$11)</f>
        <v>46307</v>
      </c>
      <c r="H9" s="14" t="n">
        <f aca="false">WORKDAY(G9,F9-1,$M$6:$M$11)</f>
        <v>46325</v>
      </c>
      <c r="I9" s="72" t="n">
        <v>60</v>
      </c>
      <c r="J9" s="69" t="s">
        <v>99</v>
      </c>
      <c r="K9" s="12" t="s">
        <v>464</v>
      </c>
      <c r="M9" s="67" t="n">
        <v>46380</v>
      </c>
      <c r="N9" s="68" t="s">
        <v>465</v>
      </c>
    </row>
    <row r="10" customFormat="false" ht="15" hidden="false" customHeight="false" outlineLevel="0" collapsed="false">
      <c r="A10" s="69" t="n">
        <v>9</v>
      </c>
      <c r="B10" s="70" t="n">
        <f aca="false">IF('Scope Checklist'!A9="","-",'Scope Checklist'!A9)</f>
        <v>3</v>
      </c>
      <c r="C10" s="71" t="str">
        <f aca="false">'Scope Checklist'!D9</f>
        <v>Architecture &amp; Engineering Approval</v>
      </c>
      <c r="D10" s="12" t="s">
        <v>466</v>
      </c>
      <c r="E10" s="72" t="n">
        <v>0</v>
      </c>
      <c r="F10" s="72" t="n">
        <v>5</v>
      </c>
      <c r="G10" s="14" t="n">
        <f aca="false">WORKDAY(H9,1+E10,$M$6:$M$11)</f>
        <v>46328</v>
      </c>
      <c r="H10" s="14" t="n">
        <f aca="false">WORKDAY(G10,F10-1,$M$6:$M$11)</f>
        <v>46332</v>
      </c>
      <c r="I10" s="72" t="n">
        <v>6</v>
      </c>
      <c r="J10" s="69" t="s">
        <v>53</v>
      </c>
      <c r="K10" s="12" t="s">
        <v>467</v>
      </c>
      <c r="M10" s="67" t="n">
        <v>46381</v>
      </c>
      <c r="N10" s="68" t="s">
        <v>468</v>
      </c>
    </row>
    <row r="11" customFormat="false" ht="15" hidden="false" customHeight="false" outlineLevel="0" collapsed="false">
      <c r="A11" s="69" t="n">
        <v>10</v>
      </c>
      <c r="B11" s="70" t="str">
        <f aca="false">IF('Scope Checklist'!A10="","-",'Scope Checklist'!A10)</f>
        <v>-</v>
      </c>
      <c r="C11" s="71" t="str">
        <f aca="false">'Scope Checklist'!D10</f>
        <v>Select provides and assign budget</v>
      </c>
      <c r="D11" s="12" t="s">
        <v>469</v>
      </c>
      <c r="E11" s="72" t="n">
        <v>0</v>
      </c>
      <c r="F11" s="72" t="n">
        <v>15</v>
      </c>
      <c r="G11" s="14" t="n">
        <f aca="false">WORKDAY(H7,1+E11,$M$6:$M$11)</f>
        <v>46314</v>
      </c>
      <c r="H11" s="14" t="n">
        <f aca="false">WORKDAY(G11,F11-1,$M$6:$M$11)</f>
        <v>46332</v>
      </c>
      <c r="I11" s="72" t="n">
        <v>24</v>
      </c>
      <c r="J11" s="69" t="s">
        <v>53</v>
      </c>
      <c r="K11" s="12" t="s">
        <v>470</v>
      </c>
      <c r="M11" s="67" t="n">
        <v>46388</v>
      </c>
      <c r="N11" s="68" t="s">
        <v>471</v>
      </c>
    </row>
    <row r="12" customFormat="false" ht="15" hidden="false" customHeight="false" outlineLevel="0" collapsed="false">
      <c r="A12" s="69" t="n">
        <v>12</v>
      </c>
      <c r="B12" s="70" t="n">
        <f aca="false">IF('Scope Checklist'!A12="","-",'Scope Checklist'!A12)</f>
        <v>5</v>
      </c>
      <c r="C12" s="71" t="str">
        <f aca="false">'Scope Checklist'!D12</f>
        <v>HOA / ARB approval - Garage Door</v>
      </c>
      <c r="D12" s="12" t="s">
        <v>469</v>
      </c>
      <c r="E12" s="72" t="n">
        <v>0</v>
      </c>
      <c r="F12" s="72" t="n">
        <v>15</v>
      </c>
      <c r="G12" s="14" t="n">
        <f aca="false">WORKDAY(H7,1+E12,$M$6:$M$11)</f>
        <v>46314</v>
      </c>
      <c r="H12" s="14" t="n">
        <f aca="false">WORKDAY(G12,F12-1,$M$6:$M$11)</f>
        <v>46332</v>
      </c>
      <c r="I12" s="72" t="n">
        <v>3</v>
      </c>
      <c r="J12" s="69" t="s">
        <v>53</v>
      </c>
      <c r="K12" s="12" t="s">
        <v>472</v>
      </c>
    </row>
    <row r="13" customFormat="false" ht="15" hidden="false" customHeight="false" outlineLevel="0" collapsed="false">
      <c r="A13" s="69" t="n">
        <v>13</v>
      </c>
      <c r="B13" s="70" t="n">
        <f aca="false">IF('Scope Checklist'!A13="","-",'Scope Checklist'!A13)</f>
        <v>6</v>
      </c>
      <c r="C13" s="71" t="str">
        <f aca="false">'Scope Checklist'!D13</f>
        <v>HOA / ARB approval - exterior paint</v>
      </c>
      <c r="D13" s="12" t="s">
        <v>469</v>
      </c>
      <c r="E13" s="72" t="n">
        <v>0</v>
      </c>
      <c r="F13" s="72" t="n">
        <v>15</v>
      </c>
      <c r="G13" s="14" t="n">
        <f aca="false">WORKDAY(H7,1+E13,$M$6:$M$11)</f>
        <v>46314</v>
      </c>
      <c r="H13" s="14" t="n">
        <f aca="false">WORKDAY(G13,F13-1,$M$6:$M$11)</f>
        <v>46332</v>
      </c>
      <c r="I13" s="72" t="n">
        <v>3</v>
      </c>
      <c r="J13" s="69" t="s">
        <v>53</v>
      </c>
      <c r="K13" s="12" t="s">
        <v>473</v>
      </c>
    </row>
    <row r="14" customFormat="false" ht="15" hidden="false" customHeight="false" outlineLevel="0" collapsed="false">
      <c r="A14" s="69" t="n">
        <v>14</v>
      </c>
      <c r="B14" s="70" t="n">
        <f aca="false">IF('Scope Checklist'!A14="","-",'Scope Checklist'!A14)</f>
        <v>7</v>
      </c>
      <c r="C14" s="71" t="str">
        <f aca="false">'Scope Checklist'!D14</f>
        <v>HOA / ARB approval - driveway</v>
      </c>
      <c r="D14" s="12" t="s">
        <v>469</v>
      </c>
      <c r="E14" s="72" t="n">
        <v>0</v>
      </c>
      <c r="F14" s="72" t="n">
        <v>15</v>
      </c>
      <c r="G14" s="14" t="n">
        <f aca="false">WORKDAY(H7,1+E14,$M$6:$M$11)</f>
        <v>46314</v>
      </c>
      <c r="H14" s="14" t="n">
        <f aca="false">WORKDAY(G14,F14-1,$M$6:$M$11)</f>
        <v>46332</v>
      </c>
      <c r="I14" s="72" t="n">
        <v>3</v>
      </c>
      <c r="J14" s="69" t="s">
        <v>53</v>
      </c>
      <c r="K14" s="12" t="s">
        <v>474</v>
      </c>
    </row>
    <row r="15" customFormat="false" ht="15" hidden="false" customHeight="false" outlineLevel="0" collapsed="false">
      <c r="A15" s="69" t="n">
        <v>15</v>
      </c>
      <c r="B15" s="70" t="n">
        <f aca="false">IF('Scope Checklist'!A15="","-",'Scope Checklist'!A15)</f>
        <v>8</v>
      </c>
      <c r="C15" s="71" t="str">
        <f aca="false">'Scope Checklist'!D15</f>
        <v>HOA / ARB approval - Landscaping</v>
      </c>
      <c r="D15" s="12" t="s">
        <v>469</v>
      </c>
      <c r="E15" s="72" t="n">
        <v>0</v>
      </c>
      <c r="F15" s="72" t="n">
        <v>15</v>
      </c>
      <c r="G15" s="14" t="n">
        <f aca="false">WORKDAY(H7,1+E15,$M$6:$M$11)</f>
        <v>46314</v>
      </c>
      <c r="H15" s="14" t="n">
        <f aca="false">WORKDAY(G15,F15-1,$M$6:$M$11)</f>
        <v>46332</v>
      </c>
      <c r="I15" s="72" t="n">
        <v>3</v>
      </c>
      <c r="J15" s="69" t="s">
        <v>53</v>
      </c>
      <c r="K15" s="12" t="s">
        <v>475</v>
      </c>
    </row>
    <row r="16" customFormat="false" ht="15" hidden="false" customHeight="false" outlineLevel="0" collapsed="false">
      <c r="A16" s="69" t="n">
        <v>17</v>
      </c>
      <c r="B16" s="70" t="n">
        <f aca="false">IF('Scope Checklist'!A17="","-",'Scope Checklist'!A17)</f>
        <v>10</v>
      </c>
      <c r="C16" s="71" t="str">
        <f aca="false">'Scope Checklist'!D17</f>
        <v>Certificate of insurance per trade per jurisdiction</v>
      </c>
      <c r="D16" s="12" t="s">
        <v>476</v>
      </c>
      <c r="E16" s="72" t="n">
        <v>5</v>
      </c>
      <c r="F16" s="72" t="n">
        <v>10</v>
      </c>
      <c r="G16" s="14" t="n">
        <f aca="false">WORKDAY(G11,E16,$M$6:$M$11)</f>
        <v>46321</v>
      </c>
      <c r="H16" s="14" t="n">
        <f aca="false">WORKDAY(G16,F16-1,$M$6:$M$11)</f>
        <v>46332</v>
      </c>
      <c r="I16" s="72" t="n">
        <v>6</v>
      </c>
      <c r="J16" s="69" t="s">
        <v>53</v>
      </c>
      <c r="K16" s="12" t="s">
        <v>477</v>
      </c>
    </row>
    <row r="17" customFormat="false" ht="15" hidden="false" customHeight="false" outlineLevel="0" collapsed="false">
      <c r="A17" s="69" t="n">
        <v>18</v>
      </c>
      <c r="B17" s="70" t="n">
        <f aca="false">IF('Scope Checklist'!A18="","-",'Scope Checklist'!A18)</f>
        <v>11</v>
      </c>
      <c r="C17" s="71" t="str">
        <f aca="false">'Scope Checklist'!D18</f>
        <v>Workers compensation per trade</v>
      </c>
      <c r="D17" s="12" t="s">
        <v>476</v>
      </c>
      <c r="E17" s="72" t="n">
        <v>5</v>
      </c>
      <c r="F17" s="72" t="n">
        <v>10</v>
      </c>
      <c r="G17" s="14" t="n">
        <f aca="false">WORKDAY(G11,E17,$M$6:$M$11)</f>
        <v>46321</v>
      </c>
      <c r="H17" s="14" t="n">
        <f aca="false">WORKDAY(G17,F17-1,$M$6:$M$11)</f>
        <v>46332</v>
      </c>
      <c r="I17" s="72" t="n">
        <v>4</v>
      </c>
      <c r="J17" s="69" t="s">
        <v>53</v>
      </c>
      <c r="K17" s="12" t="s">
        <v>478</v>
      </c>
    </row>
    <row r="18" customFormat="false" ht="15" hidden="false" customHeight="false" outlineLevel="0" collapsed="false">
      <c r="A18" s="69" t="n">
        <v>19</v>
      </c>
      <c r="B18" s="70" t="n">
        <f aca="false">IF('Scope Checklist'!A19="","-",'Scope Checklist'!A19)</f>
        <v>12</v>
      </c>
      <c r="C18" s="71" t="str">
        <f aca="false">'Scope Checklist'!D19</f>
        <v>DBPR license per trade</v>
      </c>
      <c r="D18" s="12" t="s">
        <v>476</v>
      </c>
      <c r="E18" s="72" t="n">
        <v>5</v>
      </c>
      <c r="F18" s="72" t="n">
        <v>10</v>
      </c>
      <c r="G18" s="14" t="n">
        <f aca="false">WORKDAY(G11,E18,$M$6:$M$11)</f>
        <v>46321</v>
      </c>
      <c r="H18" s="14" t="n">
        <f aca="false">WORKDAY(G18,F18-1,$M$6:$M$11)</f>
        <v>46332</v>
      </c>
      <c r="I18" s="72" t="n">
        <v>3</v>
      </c>
      <c r="J18" s="69" t="s">
        <v>53</v>
      </c>
      <c r="K18" s="12" t="s">
        <v>479</v>
      </c>
    </row>
    <row r="19" customFormat="false" ht="15" hidden="false" customHeight="false" outlineLevel="0" collapsed="false">
      <c r="A19" s="69" t="n">
        <v>21</v>
      </c>
      <c r="B19" s="70" t="n">
        <f aca="false">IF('Scope Checklist'!A21="","-",'Scope Checklist'!A21)</f>
        <v>14</v>
      </c>
      <c r="C19" s="71" t="str">
        <f aca="false">'Scope Checklist'!D21</f>
        <v>Permits package submittal</v>
      </c>
      <c r="D19" s="12" t="s">
        <v>480</v>
      </c>
      <c r="E19" s="72" t="n">
        <v>0</v>
      </c>
      <c r="F19" s="72" t="n">
        <v>3</v>
      </c>
      <c r="G19" s="14" t="n">
        <f aca="false">WORKDAY(MAX(H10,H8,H16),1+E19,$M$6:$M$11)</f>
        <v>46335</v>
      </c>
      <c r="H19" s="14" t="n">
        <f aca="false">WORKDAY(G19,F19-1,$M$6:$M$11)</f>
        <v>46338</v>
      </c>
      <c r="I19" s="72" t="n">
        <v>12</v>
      </c>
      <c r="J19" s="69" t="s">
        <v>53</v>
      </c>
      <c r="K19" s="12" t="s">
        <v>481</v>
      </c>
    </row>
    <row r="20" customFormat="false" ht="15" hidden="false" customHeight="false" outlineLevel="0" collapsed="false">
      <c r="A20" s="69" t="n">
        <v>20</v>
      </c>
      <c r="B20" s="70" t="n">
        <f aca="false">IF('Scope Checklist'!A20="","-",'Scope Checklist'!A20)</f>
        <v>13</v>
      </c>
      <c r="C20" s="71" t="str">
        <f aca="false">'Scope Checklist'!D20</f>
        <v>Notice of Commencement (NOC)</v>
      </c>
      <c r="D20" s="12" t="s">
        <v>482</v>
      </c>
      <c r="E20" s="72" t="n">
        <v>0</v>
      </c>
      <c r="F20" s="72" t="n">
        <v>3</v>
      </c>
      <c r="G20" s="14" t="n">
        <f aca="false">WORKDAY(H19,1+E20,$M$6:$M$11)</f>
        <v>46339</v>
      </c>
      <c r="H20" s="14" t="n">
        <f aca="false">WORKDAY(G20,F20-1,$M$6:$M$11)</f>
        <v>46343</v>
      </c>
      <c r="I20" s="72" t="n">
        <v>4</v>
      </c>
      <c r="J20" s="69" t="s">
        <v>53</v>
      </c>
      <c r="K20" s="12" t="s">
        <v>483</v>
      </c>
    </row>
    <row r="21" customFormat="false" ht="15" hidden="false" customHeight="false" outlineLevel="0" collapsed="false">
      <c r="A21" s="69" t="n">
        <v>22</v>
      </c>
      <c r="B21" s="70" t="n">
        <f aca="false">IF('Scope Checklist'!A22="","-",'Scope Checklist'!A22)</f>
        <v>15</v>
      </c>
      <c r="C21" s="71" t="str">
        <f aca="false">'Scope Checklist'!D22</f>
        <v>GC master permit - Residential alterations and additions</v>
      </c>
      <c r="D21" s="12" t="s">
        <v>482</v>
      </c>
      <c r="E21" s="72" t="n">
        <v>0</v>
      </c>
      <c r="F21" s="72" t="n">
        <v>20</v>
      </c>
      <c r="G21" s="14" t="n">
        <f aca="false">WORKDAY(H19,1+E21,$M$6:$M$11)</f>
        <v>46339</v>
      </c>
      <c r="H21" s="14" t="n">
        <f aca="false">WORKDAY(G21,F21-1,$M$6:$M$11)</f>
        <v>46370</v>
      </c>
      <c r="I21" s="72" t="n">
        <v>8</v>
      </c>
      <c r="J21" s="69" t="s">
        <v>53</v>
      </c>
      <c r="K21" s="12" t="s">
        <v>484</v>
      </c>
    </row>
    <row r="22" customFormat="false" ht="15" hidden="false" customHeight="false" outlineLevel="0" collapsed="false">
      <c r="A22" s="69" t="n">
        <v>23</v>
      </c>
      <c r="B22" s="70" t="n">
        <f aca="false">IF('Scope Checklist'!A23="","-",'Scope Checklist'!A23)</f>
        <v>16</v>
      </c>
      <c r="C22" s="71" t="str">
        <f aca="false">'Scope Checklist'!D23</f>
        <v>Mechanical permit</v>
      </c>
      <c r="D22" s="12" t="s">
        <v>485</v>
      </c>
      <c r="E22" s="72" t="n">
        <v>5</v>
      </c>
      <c r="F22" s="72" t="n">
        <v>15</v>
      </c>
      <c r="G22" s="14" t="n">
        <f aca="false">WORKDAY(G21,E22,$M$6:$M$11)</f>
        <v>46346</v>
      </c>
      <c r="H22" s="14" t="n">
        <f aca="false">WORKDAY(G22,F22-1,$M$6:$M$11)</f>
        <v>46370</v>
      </c>
      <c r="I22" s="72" t="n">
        <v>4</v>
      </c>
      <c r="J22" s="69" t="s">
        <v>53</v>
      </c>
      <c r="K22" s="12" t="s">
        <v>486</v>
      </c>
    </row>
    <row r="23" customFormat="false" ht="15" hidden="false" customHeight="false" outlineLevel="0" collapsed="false">
      <c r="A23" s="69" t="n">
        <v>24</v>
      </c>
      <c r="B23" s="70" t="n">
        <f aca="false">IF('Scope Checklist'!A24="","-",'Scope Checklist'!A24)</f>
        <v>17</v>
      </c>
      <c r="C23" s="71" t="str">
        <f aca="false">'Scope Checklist'!D24</f>
        <v>Electrical permit</v>
      </c>
      <c r="D23" s="12" t="s">
        <v>485</v>
      </c>
      <c r="E23" s="72" t="n">
        <v>5</v>
      </c>
      <c r="F23" s="72" t="n">
        <v>15</v>
      </c>
      <c r="G23" s="14" t="n">
        <f aca="false">WORKDAY(G21,E23,$M$6:$M$11)</f>
        <v>46346</v>
      </c>
      <c r="H23" s="14" t="n">
        <f aca="false">WORKDAY(G23,F23-1,$M$6:$M$11)</f>
        <v>46370</v>
      </c>
      <c r="I23" s="72" t="n">
        <v>4</v>
      </c>
      <c r="J23" s="69" t="s">
        <v>53</v>
      </c>
      <c r="K23" s="12" t="s">
        <v>487</v>
      </c>
    </row>
    <row r="24" customFormat="false" ht="15" hidden="false" customHeight="false" outlineLevel="0" collapsed="false">
      <c r="A24" s="69" t="n">
        <v>25</v>
      </c>
      <c r="B24" s="70" t="n">
        <f aca="false">IF('Scope Checklist'!A25="","-",'Scope Checklist'!A25)</f>
        <v>18</v>
      </c>
      <c r="C24" s="71" t="str">
        <f aca="false">'Scope Checklist'!D25</f>
        <v>Plumbing permit</v>
      </c>
      <c r="D24" s="12" t="s">
        <v>485</v>
      </c>
      <c r="E24" s="72" t="n">
        <v>5</v>
      </c>
      <c r="F24" s="72" t="n">
        <v>15</v>
      </c>
      <c r="G24" s="14" t="n">
        <f aca="false">WORKDAY(G21,E24,$M$6:$M$11)</f>
        <v>46346</v>
      </c>
      <c r="H24" s="14" t="n">
        <f aca="false">WORKDAY(G24,F24-1,$M$6:$M$11)</f>
        <v>46370</v>
      </c>
      <c r="I24" s="72" t="n">
        <v>4</v>
      </c>
      <c r="J24" s="69" t="s">
        <v>53</v>
      </c>
      <c r="K24" s="12" t="s">
        <v>488</v>
      </c>
    </row>
    <row r="25" customFormat="false" ht="15" hidden="false" customHeight="false" outlineLevel="0" collapsed="false">
      <c r="A25" s="69" t="n">
        <v>26</v>
      </c>
      <c r="B25" s="70" t="n">
        <f aca="false">IF('Scope Checklist'!A26="","-",'Scope Checklist'!A26)</f>
        <v>19</v>
      </c>
      <c r="C25" s="71" t="str">
        <f aca="false">'Scope Checklist'!D26</f>
        <v>Fence permit</v>
      </c>
      <c r="D25" s="12" t="s">
        <v>489</v>
      </c>
      <c r="E25" s="72" t="n">
        <v>0</v>
      </c>
      <c r="F25" s="72" t="n">
        <v>10</v>
      </c>
      <c r="G25" s="14" t="n">
        <f aca="false">WORKDAY(MAX(H19,H15),1+E25,$M$6:$M$11)</f>
        <v>46339</v>
      </c>
      <c r="H25" s="14" t="n">
        <f aca="false">WORKDAY(G25,F25-1,$M$6:$M$11)</f>
        <v>46356</v>
      </c>
      <c r="I25" s="72" t="n">
        <v>3</v>
      </c>
      <c r="J25" s="69" t="s">
        <v>71</v>
      </c>
      <c r="K25" s="12" t="s">
        <v>490</v>
      </c>
    </row>
    <row r="26" customFormat="false" ht="15" hidden="false" customHeight="false" outlineLevel="0" collapsed="false">
      <c r="A26" s="69" t="n">
        <v>27</v>
      </c>
      <c r="B26" s="70" t="n">
        <f aca="false">IF('Scope Checklist'!A27="","-",'Scope Checklist'!A27)</f>
        <v>20</v>
      </c>
      <c r="C26" s="71" t="str">
        <f aca="false">'Scope Checklist'!D27</f>
        <v>Driveway permit</v>
      </c>
      <c r="D26" s="12" t="s">
        <v>491</v>
      </c>
      <c r="E26" s="72" t="n">
        <v>0</v>
      </c>
      <c r="F26" s="72" t="n">
        <v>10</v>
      </c>
      <c r="G26" s="14" t="n">
        <f aca="false">WORKDAY(MAX(H19,H14),1+E26,$M$6:$M$11)</f>
        <v>46339</v>
      </c>
      <c r="H26" s="14" t="n">
        <f aca="false">WORKDAY(G26,F26-1,$M$6:$M$11)</f>
        <v>46356</v>
      </c>
      <c r="I26" s="72" t="n">
        <v>3</v>
      </c>
      <c r="J26" s="69" t="s">
        <v>71</v>
      </c>
      <c r="K26" s="12" t="s">
        <v>492</v>
      </c>
    </row>
    <row r="27" customFormat="false" ht="15" hidden="false" customHeight="false" outlineLevel="0" collapsed="false">
      <c r="A27" s="69" t="n">
        <v>28</v>
      </c>
      <c r="B27" s="70" t="n">
        <f aca="false">IF('Scope Checklist'!A28="","-",'Scope Checklist'!A28)</f>
        <v>21</v>
      </c>
      <c r="C27" s="71" t="str">
        <f aca="false">'Scope Checklist'!D28</f>
        <v>Gazebo permit</v>
      </c>
      <c r="D27" s="12" t="s">
        <v>489</v>
      </c>
      <c r="E27" s="72" t="n">
        <v>0</v>
      </c>
      <c r="F27" s="72" t="n">
        <v>10</v>
      </c>
      <c r="G27" s="14" t="n">
        <f aca="false">WORKDAY(MAX(H19,H15),1+E27,$M$6:$M$11)</f>
        <v>46339</v>
      </c>
      <c r="H27" s="14" t="n">
        <f aca="false">WORKDAY(G27,F27-1,$M$6:$M$11)</f>
        <v>46356</v>
      </c>
      <c r="I27" s="72" t="n">
        <v>3</v>
      </c>
      <c r="J27" s="69" t="s">
        <v>53</v>
      </c>
      <c r="K27" s="12" t="s">
        <v>493</v>
      </c>
    </row>
    <row r="28" customFormat="false" ht="15" hidden="false" customHeight="false" outlineLevel="0" collapsed="false">
      <c r="A28" s="69" t="n">
        <v>29</v>
      </c>
      <c r="B28" s="70" t="n">
        <f aca="false">IF('Scope Checklist'!A29="","-",'Scope Checklist'!A29)</f>
        <v>22</v>
      </c>
      <c r="C28" s="71" t="str">
        <f aca="false">'Scope Checklist'!D29</f>
        <v>Garage-door permit</v>
      </c>
      <c r="D28" s="12" t="s">
        <v>494</v>
      </c>
      <c r="E28" s="72" t="n">
        <v>0</v>
      </c>
      <c r="F28" s="72" t="n">
        <v>10</v>
      </c>
      <c r="G28" s="14" t="n">
        <f aca="false">WORKDAY(MAX(H19,H12),1+E28,$M$6:$M$11)</f>
        <v>46339</v>
      </c>
      <c r="H28" s="14" t="n">
        <f aca="false">WORKDAY(G28,F28-1,$M$6:$M$11)</f>
        <v>46356</v>
      </c>
      <c r="I28" s="72" t="n">
        <v>3</v>
      </c>
      <c r="J28" s="69" t="s">
        <v>53</v>
      </c>
      <c r="K28" s="12" t="s">
        <v>495</v>
      </c>
    </row>
    <row r="29" customFormat="false" ht="15" hidden="false" customHeight="false" outlineLevel="0" collapsed="false">
      <c r="A29" s="69" t="n">
        <v>30</v>
      </c>
      <c r="B29" s="70" t="n">
        <f aca="false">IF('Scope Checklist'!A30="","-",'Scope Checklist'!A30)</f>
        <v>23</v>
      </c>
      <c r="C29" s="71" t="str">
        <f aca="false">'Scope Checklist'!D30</f>
        <v>Demolition &amp; Waste Management</v>
      </c>
      <c r="D29" s="12" t="s">
        <v>496</v>
      </c>
      <c r="E29" s="72" t="n">
        <v>0</v>
      </c>
      <c r="F29" s="69" t="n">
        <f aca="false">NETWORKDAYS(G29,H29,$M$6:$M$11)</f>
        <v>76</v>
      </c>
      <c r="G29" s="14" t="n">
        <f aca="false">$C$3</f>
        <v>46300</v>
      </c>
      <c r="H29" s="14" t="n">
        <f aca="false">H41</f>
        <v>46413</v>
      </c>
      <c r="I29" s="72" t="n">
        <v>10</v>
      </c>
      <c r="J29" s="69" t="s">
        <v>53</v>
      </c>
      <c r="K29" s="12" t="s">
        <v>497</v>
      </c>
    </row>
    <row r="30" customFormat="false" ht="15" hidden="false" customHeight="false" outlineLevel="0" collapsed="false">
      <c r="A30" s="69" t="n">
        <v>31</v>
      </c>
      <c r="B30" s="70" t="n">
        <f aca="false">IF('Scope Checklist'!A31="","-",'Scope Checklist'!A31)</f>
        <v>24</v>
      </c>
      <c r="C30" s="71" t="str">
        <f aca="false">'Scope Checklist'!D31</f>
        <v>Utilities</v>
      </c>
      <c r="D30" s="12" t="s">
        <v>498</v>
      </c>
      <c r="E30" s="72" t="n">
        <v>0</v>
      </c>
      <c r="F30" s="69" t="s">
        <v>31</v>
      </c>
      <c r="G30" s="14" t="n">
        <f aca="false">$C$3</f>
        <v>46300</v>
      </c>
      <c r="H30" s="14" t="s">
        <v>82</v>
      </c>
      <c r="I30" s="72" t="n">
        <v>2</v>
      </c>
      <c r="J30" s="69" t="s">
        <v>53</v>
      </c>
      <c r="K30" s="12" t="s">
        <v>499</v>
      </c>
    </row>
    <row r="31" customFormat="false" ht="15" hidden="false" customHeight="false" outlineLevel="0" collapsed="false">
      <c r="A31" s="9" t="s">
        <v>86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</row>
    <row r="32" customFormat="false" ht="23.85" hidden="false" customHeight="false" outlineLevel="0" collapsed="false">
      <c r="A32" s="69" t="n">
        <v>35</v>
      </c>
      <c r="B32" s="70" t="str">
        <f aca="false">IF('Scope Checklist'!A35="","-",'Scope Checklist'!A35)</f>
        <v>N1</v>
      </c>
      <c r="C32" s="71" t="str">
        <f aca="false">'Scope Checklist'!D35</f>
        <v>Site protection + inventory (windows, railings, outlets, switches, smoke detectors)</v>
      </c>
      <c r="D32" s="12" t="s">
        <v>447</v>
      </c>
      <c r="E32" s="72" t="n">
        <v>0</v>
      </c>
      <c r="F32" s="72" t="n">
        <v>2</v>
      </c>
      <c r="G32" s="14" t="n">
        <f aca="false">$C$3</f>
        <v>46300</v>
      </c>
      <c r="H32" s="14" t="n">
        <f aca="false">WORKDAY(G32,F32-1,$M$6:$M$11)</f>
        <v>46301</v>
      </c>
      <c r="I32" s="72" t="n">
        <v>12</v>
      </c>
      <c r="J32" s="69" t="s">
        <v>71</v>
      </c>
      <c r="K32" s="12" t="s">
        <v>500</v>
      </c>
    </row>
    <row r="33" customFormat="false" ht="15" hidden="false" customHeight="false" outlineLevel="0" collapsed="false">
      <c r="A33" s="69" t="n">
        <v>36</v>
      </c>
      <c r="B33" s="70" t="str">
        <f aca="false">IF('Scope Checklist'!A36="","-",'Scope Checklist'!A36)</f>
        <v>N2</v>
      </c>
      <c r="C33" s="71" t="str">
        <f aca="false">'Scope Checklist'!D36</f>
        <v>Structural engineering review - removed interior walls / truss bearing</v>
      </c>
      <c r="D33" s="12" t="s">
        <v>501</v>
      </c>
      <c r="E33" s="72" t="n">
        <v>0</v>
      </c>
      <c r="F33" s="72" t="n">
        <v>8</v>
      </c>
      <c r="G33" s="14" t="n">
        <f aca="false">$C$3</f>
        <v>46300</v>
      </c>
      <c r="H33" s="14" t="n">
        <f aca="false">WORKDAY(G33,F33-1,$M$6:$M$11)</f>
        <v>46309</v>
      </c>
      <c r="I33" s="72" t="n">
        <v>8</v>
      </c>
      <c r="J33" s="69" t="s">
        <v>99</v>
      </c>
      <c r="K33" s="12" t="s">
        <v>502</v>
      </c>
    </row>
    <row r="34" customFormat="false" ht="15" hidden="false" customHeight="false" outlineLevel="0" collapsed="false">
      <c r="A34" s="69" t="n">
        <v>37</v>
      </c>
      <c r="B34" s="70" t="n">
        <f aca="false">IF('Scope Checklist'!A37="","-",'Scope Checklist'!A37)</f>
        <v>56</v>
      </c>
      <c r="C34" s="71" t="str">
        <f aca="false">'Scope Checklist'!D37</f>
        <v>Popcorn ceiling removal - flat finish &amp; skin coat</v>
      </c>
      <c r="D34" s="12" t="s">
        <v>503</v>
      </c>
      <c r="E34" s="72" t="n">
        <v>0</v>
      </c>
      <c r="F34" s="72" t="n">
        <v>8</v>
      </c>
      <c r="G34" s="14" t="n">
        <f aca="false">WORKDAY(H32,1+E34,$M$6:$M$11)</f>
        <v>46302</v>
      </c>
      <c r="H34" s="14" t="n">
        <f aca="false">WORKDAY(G34,F34-1,$M$6:$M$11)</f>
        <v>46311</v>
      </c>
      <c r="I34" s="72" t="n">
        <v>64</v>
      </c>
      <c r="J34" s="69" t="s">
        <v>102</v>
      </c>
      <c r="K34" s="12" t="s">
        <v>504</v>
      </c>
    </row>
    <row r="35" customFormat="false" ht="23.85" hidden="false" customHeight="false" outlineLevel="0" collapsed="false">
      <c r="A35" s="69" t="n">
        <v>38</v>
      </c>
      <c r="B35" s="70" t="n">
        <f aca="false">IF('Scope Checklist'!A38="","-",'Scope Checklist'!A38)</f>
        <v>53</v>
      </c>
      <c r="C35" s="71" t="str">
        <f aca="false">'Scope Checklist'!D38</f>
        <v>Framing repairs / new partitions</v>
      </c>
      <c r="D35" s="12" t="s">
        <v>505</v>
      </c>
      <c r="E35" s="72" t="n">
        <v>0</v>
      </c>
      <c r="F35" s="72" t="n">
        <v>5</v>
      </c>
      <c r="G35" s="14" t="n">
        <f aca="false">WORKDAY(MAX(H21,H33),1+E35,$M$6:$M$11)</f>
        <v>46371</v>
      </c>
      <c r="H35" s="14" t="n">
        <f aca="false">WORKDAY(G35,F35-1,$M$6:$M$11)</f>
        <v>46377</v>
      </c>
      <c r="I35" s="72" t="n">
        <v>60</v>
      </c>
      <c r="J35" s="69" t="s">
        <v>92</v>
      </c>
      <c r="K35" s="12" t="s">
        <v>506</v>
      </c>
    </row>
    <row r="36" customFormat="false" ht="23.85" hidden="false" customHeight="false" outlineLevel="0" collapsed="false">
      <c r="A36" s="69" t="n">
        <v>39</v>
      </c>
      <c r="B36" s="70" t="str">
        <f aca="false">IF('Scope Checklist'!A39="","-",'Scope Checklist'!A39)</f>
        <v>N3</v>
      </c>
      <c r="C36" s="71" t="str">
        <f aca="false">'Scope Checklist'!D39</f>
        <v>Slab trench patch after underground plumbing (baths/kitchen) + slab inspection</v>
      </c>
      <c r="D36" s="12" t="s">
        <v>507</v>
      </c>
      <c r="E36" s="72" t="n">
        <v>0</v>
      </c>
      <c r="F36" s="72" t="n">
        <v>3</v>
      </c>
      <c r="G36" s="14" t="n">
        <f aca="false">WORKDAY(H57,1+E36,$M$6:$M$11)</f>
        <v>46377</v>
      </c>
      <c r="H36" s="14" t="n">
        <f aca="false">WORKDAY(G36,F36-1,$M$6:$M$11)</f>
        <v>46379</v>
      </c>
      <c r="I36" s="72" t="n">
        <v>16</v>
      </c>
      <c r="J36" s="69" t="s">
        <v>92</v>
      </c>
      <c r="K36" s="12" t="s">
        <v>508</v>
      </c>
    </row>
    <row r="37" customFormat="false" ht="15" hidden="false" customHeight="false" outlineLevel="0" collapsed="false">
      <c r="A37" s="69" t="n">
        <v>40</v>
      </c>
      <c r="B37" s="70" t="n">
        <f aca="false">IF('Scope Checklist'!A40="","-",'Scope Checklist'!A40)</f>
        <v>57</v>
      </c>
      <c r="C37" s="71" t="str">
        <f aca="false">'Scope Checklist'!D40</f>
        <v>Concrete slab repair + tile infill under AC unit</v>
      </c>
      <c r="D37" s="12" t="s">
        <v>509</v>
      </c>
      <c r="E37" s="72" t="n">
        <v>0</v>
      </c>
      <c r="F37" s="72" t="n">
        <v>2</v>
      </c>
      <c r="G37" s="14" t="n">
        <f aca="false">WORKDAY(H22,1+E37,$M$6:$M$11)</f>
        <v>46371</v>
      </c>
      <c r="H37" s="14" t="n">
        <f aca="false">WORKDAY(G37,F37-1,$M$6:$M$11)</f>
        <v>46372</v>
      </c>
      <c r="I37" s="72" t="n">
        <v>12</v>
      </c>
      <c r="J37" s="69" t="s">
        <v>510</v>
      </c>
      <c r="K37" s="12" t="s">
        <v>511</v>
      </c>
    </row>
    <row r="38" customFormat="false" ht="35.05" hidden="false" customHeight="false" outlineLevel="0" collapsed="false">
      <c r="A38" s="69" t="n">
        <v>41</v>
      </c>
      <c r="B38" s="70" t="str">
        <f aca="false">IF('Scope Checklist'!A41="","-",'Scope Checklist'!A41)</f>
        <v>N4</v>
      </c>
      <c r="C38" s="71" t="str">
        <f aca="false">'Scope Checklist'!D41</f>
        <v>Framing + MEP rough-in inspections (pre-cover milestone)</v>
      </c>
      <c r="D38" s="12" t="s">
        <v>512</v>
      </c>
      <c r="E38" s="72" t="n">
        <v>0</v>
      </c>
      <c r="F38" s="72" t="n">
        <v>5</v>
      </c>
      <c r="G38" s="14" t="n">
        <f aca="false">WORKDAY(MAX(H35,H36,H37,H46,H47,H58,H63),1+E38,$M$6:$M$11)</f>
        <v>46387</v>
      </c>
      <c r="H38" s="14" t="n">
        <f aca="false">WORKDAY(G38,F38-1,$M$6:$M$11)</f>
        <v>46394</v>
      </c>
      <c r="I38" s="72" t="n">
        <v>8</v>
      </c>
      <c r="J38" s="69" t="s">
        <v>53</v>
      </c>
      <c r="K38" s="12" t="s">
        <v>513</v>
      </c>
    </row>
    <row r="39" customFormat="false" ht="15" hidden="false" customHeight="false" outlineLevel="0" collapsed="false">
      <c r="A39" s="69" t="n">
        <v>42</v>
      </c>
      <c r="B39" s="70" t="str">
        <f aca="false">IF('Scope Checklist'!A42="","-",'Scope Checklist'!A42)</f>
        <v>-</v>
      </c>
      <c r="C39" s="71" t="str">
        <f aca="false">'Scope Checklist'!D42</f>
        <v>Drywall repair / install &amp; finish. 2nd phase </v>
      </c>
      <c r="D39" s="12" t="s">
        <v>514</v>
      </c>
      <c r="E39" s="72" t="n">
        <v>0</v>
      </c>
      <c r="F39" s="72" t="n">
        <v>5</v>
      </c>
      <c r="G39" s="14" t="n">
        <f aca="false">WORKDAY(H38,1+E39,$M$6:$M$11)</f>
        <v>46395</v>
      </c>
      <c r="H39" s="14" t="n">
        <f aca="false">WORKDAY(G39,F39-1,$M$6:$M$11)</f>
        <v>46401</v>
      </c>
      <c r="I39" s="72" t="n">
        <v>80</v>
      </c>
      <c r="J39" s="69" t="s">
        <v>92</v>
      </c>
      <c r="K39" s="12" t="s">
        <v>515</v>
      </c>
    </row>
    <row r="40" customFormat="false" ht="15" hidden="false" customHeight="false" outlineLevel="0" collapsed="false">
      <c r="A40" s="69" t="n">
        <v>43</v>
      </c>
      <c r="B40" s="70" t="str">
        <f aca="false">IF('Scope Checklist'!A43="","-",'Scope Checklist'!A43)</f>
        <v>-</v>
      </c>
      <c r="C40" s="71" t="str">
        <f aca="false">'Scope Checklist'!D43</f>
        <v>Drywall repair / install &amp; finish. Final phase </v>
      </c>
      <c r="D40" s="12" t="s">
        <v>516</v>
      </c>
      <c r="E40" s="72" t="n">
        <v>0</v>
      </c>
      <c r="F40" s="72" t="n">
        <v>5</v>
      </c>
      <c r="G40" s="14" t="n">
        <f aca="false">WORKDAY(H39,1+E40,$M$6:$M$11)</f>
        <v>46402</v>
      </c>
      <c r="H40" s="14" t="n">
        <f aca="false">WORKDAY(G40,F40-1,$M$6:$M$11)</f>
        <v>46408</v>
      </c>
      <c r="I40" s="72" t="n">
        <v>60</v>
      </c>
      <c r="J40" s="69" t="s">
        <v>92</v>
      </c>
      <c r="K40" s="12" t="s">
        <v>517</v>
      </c>
    </row>
    <row r="41" customFormat="false" ht="15" hidden="false" customHeight="false" outlineLevel="0" collapsed="false">
      <c r="A41" s="69" t="n">
        <v>44</v>
      </c>
      <c r="B41" s="70" t="str">
        <f aca="false">IF('Scope Checklist'!A44="","-",'Scope Checklist'!A44)</f>
        <v>N5</v>
      </c>
      <c r="C41" s="71" t="str">
        <f aca="false">'Scope Checklist'!D44</f>
        <v>Surface prep - primer on walls + ceilings</v>
      </c>
      <c r="D41" s="12" t="s">
        <v>518</v>
      </c>
      <c r="E41" s="72" t="n">
        <v>0</v>
      </c>
      <c r="F41" s="72" t="n">
        <v>3</v>
      </c>
      <c r="G41" s="14" t="n">
        <f aca="false">WORKDAY(H40,1+E41,$M$6:$M$11)</f>
        <v>46409</v>
      </c>
      <c r="H41" s="14" t="n">
        <f aca="false">WORKDAY(G41,F41-1,$M$6:$M$11)</f>
        <v>46413</v>
      </c>
      <c r="I41" s="72" t="n">
        <v>40</v>
      </c>
      <c r="J41" s="69" t="s">
        <v>123</v>
      </c>
      <c r="K41" s="12" t="s">
        <v>519</v>
      </c>
    </row>
    <row r="42" customFormat="false" ht="15" hidden="false" customHeight="false" outlineLevel="0" collapsed="false">
      <c r="A42" s="9" t="s">
        <v>520</v>
      </c>
      <c r="B42" s="66"/>
      <c r="C42" s="66"/>
      <c r="D42" s="66"/>
      <c r="E42" s="66"/>
      <c r="F42" s="66"/>
      <c r="G42" s="66"/>
      <c r="H42" s="66"/>
      <c r="I42" s="66"/>
      <c r="J42" s="66"/>
      <c r="K42" s="66"/>
    </row>
    <row r="43" customFormat="false" ht="23.85" hidden="false" customHeight="false" outlineLevel="0" collapsed="false">
      <c r="A43" s="73" t="s">
        <v>31</v>
      </c>
      <c r="B43" s="74" t="s">
        <v>31</v>
      </c>
      <c r="C43" s="75" t="s">
        <v>521</v>
      </c>
      <c r="D43" s="76" t="s">
        <v>522</v>
      </c>
      <c r="E43" s="77" t="n">
        <v>20</v>
      </c>
      <c r="F43" s="78" t="n">
        <v>1</v>
      </c>
      <c r="G43" s="79" t="n">
        <f aca="false">WORKDAY(H41,1+E43,$M$6:$M$11)</f>
        <v>46442</v>
      </c>
      <c r="H43" s="79" t="n">
        <f aca="false">WORKDAY(G43,F43-1,$M$6:$M$11)</f>
        <v>46442</v>
      </c>
      <c r="I43" s="73" t="s">
        <v>31</v>
      </c>
      <c r="J43" s="73" t="s">
        <v>53</v>
      </c>
      <c r="K43" s="76" t="s">
        <v>523</v>
      </c>
    </row>
    <row r="44" customFormat="false" ht="15" hidden="false" customHeight="false" outlineLevel="0" collapsed="false">
      <c r="A44" s="9" t="s">
        <v>127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</row>
    <row r="45" customFormat="false" ht="15" hidden="false" customHeight="false" outlineLevel="0" collapsed="false">
      <c r="A45" s="69" t="n">
        <v>48</v>
      </c>
      <c r="B45" s="70" t="str">
        <f aca="false">IF('Scope Checklist'!A48="","-",'Scope Checklist'!A48)</f>
        <v>N6</v>
      </c>
      <c r="C45" s="71" t="str">
        <f aca="false">'Scope Checklist'!D48</f>
        <v>Make-safe exposed wiring from demolition (cap, label, temp lighting)</v>
      </c>
      <c r="D45" s="12" t="s">
        <v>524</v>
      </c>
      <c r="E45" s="72" t="n">
        <v>0</v>
      </c>
      <c r="F45" s="72" t="n">
        <v>1</v>
      </c>
      <c r="G45" s="14" t="n">
        <f aca="false">$C$3</f>
        <v>46300</v>
      </c>
      <c r="H45" s="14" t="n">
        <f aca="false">WORKDAY(G45,F45-1,$M$6:$M$11)</f>
        <v>46300</v>
      </c>
      <c r="I45" s="72" t="n">
        <v>6</v>
      </c>
      <c r="J45" s="69" t="s">
        <v>102</v>
      </c>
      <c r="K45" s="12" t="s">
        <v>525</v>
      </c>
    </row>
    <row r="46" customFormat="false" ht="15" hidden="false" customHeight="false" outlineLevel="0" collapsed="false">
      <c r="A46" s="69" t="n">
        <v>49</v>
      </c>
      <c r="B46" s="70" t="n">
        <f aca="false">IF('Scope Checklist'!A49="","-",'Scope Checklist'!A49)</f>
        <v>60</v>
      </c>
      <c r="C46" s="71" t="str">
        <f aca="false">'Scope Checklist'!D49</f>
        <v>Electrical panel change out</v>
      </c>
      <c r="D46" s="12" t="s">
        <v>526</v>
      </c>
      <c r="E46" s="72" t="n">
        <v>0</v>
      </c>
      <c r="F46" s="72" t="n">
        <v>2</v>
      </c>
      <c r="G46" s="14" t="n">
        <f aca="false">WORKDAY(H23,1+E46,$M$6:$M$11)</f>
        <v>46371</v>
      </c>
      <c r="H46" s="14" t="n">
        <f aca="false">WORKDAY(G46,F46-1,$M$6:$M$11)</f>
        <v>46372</v>
      </c>
      <c r="I46" s="72" t="n">
        <v>12</v>
      </c>
      <c r="J46" s="69" t="s">
        <v>71</v>
      </c>
      <c r="K46" s="12" t="s">
        <v>527</v>
      </c>
    </row>
    <row r="47" customFormat="false" ht="15" hidden="false" customHeight="false" outlineLevel="0" collapsed="false">
      <c r="A47" s="69" t="n">
        <v>50</v>
      </c>
      <c r="B47" s="70" t="str">
        <f aca="false">IF('Scope Checklist'!A50="","-",'Scope Checklist'!A50)</f>
        <v>N7</v>
      </c>
      <c r="C47" s="71" t="str">
        <f aca="false">'Scope Checklist'!D50</f>
        <v>Electrical rough-in - relocated boxes, new kitchen/bath circuits</v>
      </c>
      <c r="D47" s="12" t="s">
        <v>528</v>
      </c>
      <c r="E47" s="72" t="n">
        <v>0</v>
      </c>
      <c r="F47" s="72" t="n">
        <v>5</v>
      </c>
      <c r="G47" s="14" t="n">
        <f aca="false">WORKDAY(MAX(H23,H35,H45),1+E47,$M$6:$M$11)</f>
        <v>46378</v>
      </c>
      <c r="H47" s="14" t="n">
        <f aca="false">WORKDAY(G47,F47-1,$M$6:$M$11)</f>
        <v>46386</v>
      </c>
      <c r="I47" s="72" t="n">
        <v>60</v>
      </c>
      <c r="J47" s="69" t="s">
        <v>102</v>
      </c>
      <c r="K47" s="12" t="s">
        <v>529</v>
      </c>
    </row>
    <row r="48" customFormat="false" ht="15" hidden="false" customHeight="false" outlineLevel="0" collapsed="false">
      <c r="A48" s="69" t="n">
        <v>51</v>
      </c>
      <c r="B48" s="70" t="n">
        <f aca="false">IF('Scope Checklist'!A51="","-",'Scope Checklist'!A51)</f>
        <v>61</v>
      </c>
      <c r="C48" s="71" t="str">
        <f aca="false">'Scope Checklist'!D51</f>
        <v>Outlets, switches, GFCI/AFCI</v>
      </c>
      <c r="D48" s="12" t="s">
        <v>530</v>
      </c>
      <c r="E48" s="72" t="n">
        <v>0</v>
      </c>
      <c r="F48" s="72" t="n">
        <v>3</v>
      </c>
      <c r="G48" s="14" t="n">
        <f aca="false">WORKDAY(H43,1+E48,$M$6:$M$11)</f>
        <v>46443</v>
      </c>
      <c r="H48" s="14" t="n">
        <f aca="false">WORKDAY(G48,F48-1,$M$6:$M$11)</f>
        <v>46447</v>
      </c>
      <c r="I48" s="72" t="n">
        <v>24</v>
      </c>
      <c r="J48" s="69" t="s">
        <v>102</v>
      </c>
      <c r="K48" s="12" t="s">
        <v>531</v>
      </c>
    </row>
    <row r="49" customFormat="false" ht="15" hidden="false" customHeight="false" outlineLevel="0" collapsed="false">
      <c r="A49" s="69" t="n">
        <v>52</v>
      </c>
      <c r="B49" s="70" t="n">
        <f aca="false">IF('Scope Checklist'!A52="","-",'Scope Checklist'!A52)</f>
        <v>62</v>
      </c>
      <c r="C49" s="71" t="str">
        <f aca="false">'Scope Checklist'!D52</f>
        <v>Recessed lighting (LED)</v>
      </c>
      <c r="D49" s="12" t="s">
        <v>532</v>
      </c>
      <c r="E49" s="72" t="n">
        <v>0</v>
      </c>
      <c r="F49" s="72" t="n">
        <v>2</v>
      </c>
      <c r="G49" s="14" t="n">
        <f aca="false">WORKDAY(G48,E49,$M$6:$M$11)</f>
        <v>46443</v>
      </c>
      <c r="H49" s="14" t="n">
        <f aca="false">WORKDAY(G49,F49-1,$M$6:$M$11)</f>
        <v>46444</v>
      </c>
      <c r="I49" s="72" t="n">
        <v>12</v>
      </c>
      <c r="J49" s="69" t="s">
        <v>102</v>
      </c>
      <c r="K49" s="12" t="s">
        <v>533</v>
      </c>
    </row>
    <row r="50" customFormat="false" ht="15" hidden="false" customHeight="false" outlineLevel="0" collapsed="false">
      <c r="A50" s="69" t="n">
        <v>53</v>
      </c>
      <c r="B50" s="70" t="n">
        <f aca="false">IF('Scope Checklist'!A53="","-",'Scope Checklist'!A53)</f>
        <v>63</v>
      </c>
      <c r="C50" s="71" t="str">
        <f aca="false">'Scope Checklist'!D53</f>
        <v>Ceiling fans</v>
      </c>
      <c r="D50" s="12" t="s">
        <v>534</v>
      </c>
      <c r="E50" s="72" t="n">
        <v>1</v>
      </c>
      <c r="F50" s="72" t="n">
        <v>2</v>
      </c>
      <c r="G50" s="14" t="n">
        <f aca="false">WORKDAY(G48,E50,$M$6:$M$11)</f>
        <v>46444</v>
      </c>
      <c r="H50" s="14" t="n">
        <f aca="false">WORKDAY(G50,F50-1,$M$6:$M$11)</f>
        <v>46447</v>
      </c>
      <c r="I50" s="72" t="n">
        <v>12</v>
      </c>
      <c r="J50" s="69" t="s">
        <v>102</v>
      </c>
      <c r="K50" s="12" t="s">
        <v>535</v>
      </c>
    </row>
    <row r="51" customFormat="false" ht="15" hidden="false" customHeight="false" outlineLevel="0" collapsed="false">
      <c r="A51" s="69" t="n">
        <v>54</v>
      </c>
      <c r="B51" s="70" t="n">
        <f aca="false">IF('Scope Checklist'!A54="","-",'Scope Checklist'!A54)</f>
        <v>64</v>
      </c>
      <c r="C51" s="71" t="str">
        <f aca="false">'Scope Checklist'!D54</f>
        <v>Dining fixture (kitchen chandelier)</v>
      </c>
      <c r="D51" s="12" t="s">
        <v>536</v>
      </c>
      <c r="E51" s="72" t="n">
        <v>2</v>
      </c>
      <c r="F51" s="72" t="n">
        <v>1</v>
      </c>
      <c r="G51" s="14" t="n">
        <f aca="false">WORKDAY(G48,E51,$M$6:$M$11)</f>
        <v>46447</v>
      </c>
      <c r="H51" s="14" t="n">
        <f aca="false">WORKDAY(G51,F51-1,$M$6:$M$11)</f>
        <v>46447</v>
      </c>
      <c r="I51" s="72" t="n">
        <v>3</v>
      </c>
      <c r="J51" s="69" t="s">
        <v>102</v>
      </c>
      <c r="K51" s="12" t="s">
        <v>537</v>
      </c>
    </row>
    <row r="52" customFormat="false" ht="15" hidden="false" customHeight="false" outlineLevel="0" collapsed="false">
      <c r="A52" s="69" t="n">
        <v>55</v>
      </c>
      <c r="B52" s="70" t="n">
        <f aca="false">IF('Scope Checklist'!A55="","-",'Scope Checklist'!A55)</f>
        <v>65</v>
      </c>
      <c r="C52" s="71" t="str">
        <f aca="false">'Scope Checklist'!D55</f>
        <v>LED mirrors - install</v>
      </c>
      <c r="D52" s="12" t="s">
        <v>538</v>
      </c>
      <c r="E52" s="72" t="n">
        <v>0</v>
      </c>
      <c r="F52" s="72" t="n">
        <v>1</v>
      </c>
      <c r="G52" s="14" t="n">
        <f aca="false">WORKDAY(H48,1+E52,$M$6:$M$11)</f>
        <v>46448</v>
      </c>
      <c r="H52" s="14" t="n">
        <f aca="false">WORKDAY(G52,F52-1,$M$6:$M$11)</f>
        <v>46448</v>
      </c>
      <c r="I52" s="72" t="n">
        <v>4</v>
      </c>
      <c r="J52" s="69" t="s">
        <v>92</v>
      </c>
      <c r="K52" s="12" t="s">
        <v>539</v>
      </c>
    </row>
    <row r="53" customFormat="false" ht="15" hidden="false" customHeight="false" outlineLevel="0" collapsed="false">
      <c r="A53" s="69" t="n">
        <v>56</v>
      </c>
      <c r="B53" s="70" t="n">
        <f aca="false">IF('Scope Checklist'!A56="","-",'Scope Checklist'!A56)</f>
        <v>66</v>
      </c>
      <c r="C53" s="71" t="str">
        <f aca="false">'Scope Checklist'!D56</f>
        <v>Smoke / CO detectors - replace all</v>
      </c>
      <c r="D53" s="12" t="s">
        <v>540</v>
      </c>
      <c r="E53" s="72" t="n">
        <v>0</v>
      </c>
      <c r="F53" s="72" t="n">
        <v>1</v>
      </c>
      <c r="G53" s="14" t="n">
        <f aca="false">WORKDAY(H48,1+E53,$M$6:$M$11)</f>
        <v>46448</v>
      </c>
      <c r="H53" s="14" t="n">
        <f aca="false">WORKDAY(G53,F53-1,$M$6:$M$11)</f>
        <v>46448</v>
      </c>
      <c r="I53" s="72" t="n">
        <v>4</v>
      </c>
      <c r="J53" s="69" t="s">
        <v>158</v>
      </c>
      <c r="K53" s="12" t="s">
        <v>541</v>
      </c>
    </row>
    <row r="54" customFormat="false" ht="15" hidden="false" customHeight="false" outlineLevel="0" collapsed="false">
      <c r="A54" s="69" t="n">
        <v>57</v>
      </c>
      <c r="B54" s="70" t="n">
        <f aca="false">IF('Scope Checklist'!A57="","-",'Scope Checklist'!A57)</f>
        <v>67</v>
      </c>
      <c r="C54" s="71" t="str">
        <f aca="false">'Scope Checklist'!D57</f>
        <v>Doorbell / smart doorbell</v>
      </c>
      <c r="D54" s="12" t="s">
        <v>540</v>
      </c>
      <c r="E54" s="72" t="n">
        <v>0</v>
      </c>
      <c r="F54" s="72" t="n">
        <v>1</v>
      </c>
      <c r="G54" s="14" t="n">
        <f aca="false">WORKDAY(H48,1+E54,$M$6:$M$11)</f>
        <v>46448</v>
      </c>
      <c r="H54" s="14" t="n">
        <f aca="false">WORKDAY(G54,F54-1,$M$6:$M$11)</f>
        <v>46448</v>
      </c>
      <c r="I54" s="72" t="n">
        <v>2</v>
      </c>
      <c r="J54" s="69" t="s">
        <v>102</v>
      </c>
      <c r="K54" s="12" t="s">
        <v>539</v>
      </c>
    </row>
    <row r="55" customFormat="false" ht="23.85" hidden="false" customHeight="false" outlineLevel="0" collapsed="false">
      <c r="A55" s="69" t="n">
        <v>47</v>
      </c>
      <c r="B55" s="70" t="n">
        <f aca="false">IF('Scope Checklist'!A47="","-",'Scope Checklist'!A47)</f>
        <v>59</v>
      </c>
      <c r="C55" s="71" t="str">
        <f aca="false">'Scope Checklist'!D47</f>
        <v>Electrical contract - overall</v>
      </c>
      <c r="D55" s="12" t="s">
        <v>542</v>
      </c>
      <c r="E55" s="72" t="n">
        <v>0</v>
      </c>
      <c r="F55" s="69" t="n">
        <f aca="false">NETWORKDAYS(G55,H55,$M$6:$M$11)</f>
        <v>101</v>
      </c>
      <c r="G55" s="14" t="n">
        <f aca="false">G45</f>
        <v>46300</v>
      </c>
      <c r="H55" s="14" t="n">
        <f aca="false">MAX(H46,H47,H48,H49,H50,H51,H52,H53,H54)</f>
        <v>46448</v>
      </c>
      <c r="I55" s="69" t="s">
        <v>31</v>
      </c>
      <c r="J55" s="69" t="s">
        <v>102</v>
      </c>
      <c r="K55" s="12" t="s">
        <v>543</v>
      </c>
    </row>
    <row r="56" customFormat="false" ht="15" hidden="false" customHeight="false" outlineLevel="0" collapsed="false">
      <c r="A56" s="9" t="s">
        <v>161</v>
      </c>
      <c r="B56" s="66"/>
      <c r="C56" s="66"/>
      <c r="D56" s="66"/>
      <c r="E56" s="66"/>
      <c r="F56" s="66"/>
      <c r="G56" s="66"/>
      <c r="H56" s="66"/>
      <c r="I56" s="66"/>
      <c r="J56" s="66"/>
      <c r="K56" s="66"/>
    </row>
    <row r="57" customFormat="false" ht="23.85" hidden="false" customHeight="false" outlineLevel="0" collapsed="false">
      <c r="A57" s="69" t="n">
        <v>60</v>
      </c>
      <c r="B57" s="70" t="str">
        <f aca="false">IF('Scope Checklist'!A60="","-",'Scope Checklist'!A60)</f>
        <v>N8</v>
      </c>
      <c r="C57" s="71" t="str">
        <f aca="false">'Scope Checklist'!D60</f>
        <v>Underground DWV rough-in (baths/kitchen) incl. P-traps + underground inspection PASS</v>
      </c>
      <c r="D57" s="12" t="s">
        <v>544</v>
      </c>
      <c r="E57" s="72" t="n">
        <v>0</v>
      </c>
      <c r="F57" s="72" t="n">
        <v>4</v>
      </c>
      <c r="G57" s="14" t="n">
        <f aca="false">WORKDAY(H24,1+E57,$M$6:$M$11)</f>
        <v>46371</v>
      </c>
      <c r="H57" s="14" t="n">
        <f aca="false">WORKDAY(G57,F57-1,$M$6:$M$11)</f>
        <v>46374</v>
      </c>
      <c r="I57" s="72" t="n">
        <v>32</v>
      </c>
      <c r="J57" s="69" t="s">
        <v>92</v>
      </c>
      <c r="K57" s="12" t="s">
        <v>545</v>
      </c>
    </row>
    <row r="58" customFormat="false" ht="23.85" hidden="false" customHeight="false" outlineLevel="0" collapsed="false">
      <c r="A58" s="69" t="n">
        <v>61</v>
      </c>
      <c r="B58" s="70" t="str">
        <f aca="false">IF('Scope Checklist'!A61="","-",'Scope Checklist'!A61)</f>
        <v>N9</v>
      </c>
      <c r="C58" s="71" t="str">
        <f aca="false">'Scope Checklist'!D61</f>
        <v>Water supply rough-in / top-out (shower valves, toilets, kitchen, fridge line) + pressure test</v>
      </c>
      <c r="D58" s="12" t="s">
        <v>546</v>
      </c>
      <c r="E58" s="72" t="n">
        <v>0</v>
      </c>
      <c r="F58" s="72" t="n">
        <v>3</v>
      </c>
      <c r="G58" s="14" t="n">
        <f aca="false">WORKDAY(H36,1+E58,$M$6:$M$11)</f>
        <v>46384</v>
      </c>
      <c r="H58" s="14" t="n">
        <f aca="false">WORKDAY(G58,F58-1,$M$6:$M$11)</f>
        <v>46386</v>
      </c>
      <c r="I58" s="72" t="n">
        <v>24</v>
      </c>
      <c r="J58" s="69" t="s">
        <v>92</v>
      </c>
      <c r="K58" s="12" t="s">
        <v>547</v>
      </c>
    </row>
    <row r="59" customFormat="false" ht="15" hidden="false" customHeight="false" outlineLevel="0" collapsed="false">
      <c r="A59" s="69" t="n">
        <v>62</v>
      </c>
      <c r="B59" s="70" t="n">
        <f aca="false">IF('Scope Checklist'!A62="","-",'Scope Checklist'!A62)</f>
        <v>71</v>
      </c>
      <c r="C59" s="71" t="str">
        <f aca="false">'Scope Checklist'!D62</f>
        <v>Plumbing inventory check - supply lines, drainage, P-traps</v>
      </c>
      <c r="D59" s="12" t="s">
        <v>548</v>
      </c>
      <c r="E59" s="72" t="n">
        <v>0</v>
      </c>
      <c r="F59" s="72" t="n">
        <v>2</v>
      </c>
      <c r="G59" s="14" t="n">
        <f aca="false">WORKDAY(H58,1+E59,$M$6:$M$11)</f>
        <v>46387</v>
      </c>
      <c r="H59" s="14" t="n">
        <f aca="false">WORKDAY(G59,F59-1,$M$6:$M$11)</f>
        <v>46391</v>
      </c>
      <c r="I59" s="72" t="n">
        <v>6</v>
      </c>
      <c r="J59" s="69" t="s">
        <v>92</v>
      </c>
      <c r="K59" s="12" t="s">
        <v>549</v>
      </c>
    </row>
    <row r="60" customFormat="false" ht="15" hidden="false" customHeight="false" outlineLevel="0" collapsed="false">
      <c r="A60" s="69" t="n">
        <v>63</v>
      </c>
      <c r="B60" s="70" t="n">
        <f aca="false">IF('Scope Checklist'!A63="","-",'Scope Checklist'!A63)</f>
        <v>69</v>
      </c>
      <c r="C60" s="71" t="str">
        <f aca="false">'Scope Checklist'!D63</f>
        <v>Final plumbing completion labor</v>
      </c>
      <c r="D60" s="12" t="s">
        <v>530</v>
      </c>
      <c r="E60" s="72" t="n">
        <v>0</v>
      </c>
      <c r="F60" s="72" t="n">
        <v>3</v>
      </c>
      <c r="G60" s="14" t="n">
        <f aca="false">WORKDAY(H43,1+E60,$M$6:$M$11)</f>
        <v>46443</v>
      </c>
      <c r="H60" s="14" t="n">
        <f aca="false">WORKDAY(G60,F60-1,$M$6:$M$11)</f>
        <v>46447</v>
      </c>
      <c r="I60" s="72" t="n">
        <v>24</v>
      </c>
      <c r="J60" s="69" t="s">
        <v>92</v>
      </c>
      <c r="K60" s="12" t="s">
        <v>550</v>
      </c>
    </row>
    <row r="61" customFormat="false" ht="15" hidden="false" customHeight="false" outlineLevel="0" collapsed="false">
      <c r="A61" s="69" t="n">
        <v>64</v>
      </c>
      <c r="B61" s="70" t="n">
        <f aca="false">IF('Scope Checklist'!A64="","-",'Scope Checklist'!A64)</f>
        <v>72</v>
      </c>
      <c r="C61" s="71" t="str">
        <f aca="false">'Scope Checklist'!D64</f>
        <v>Angle stops and supply lines throughout</v>
      </c>
      <c r="D61" s="12" t="s">
        <v>551</v>
      </c>
      <c r="E61" s="72" t="n">
        <v>0</v>
      </c>
      <c r="F61" s="72" t="n">
        <v>2</v>
      </c>
      <c r="G61" s="14" t="n">
        <f aca="false">WORKDAY(G60,E61,$M$6:$M$11)</f>
        <v>46443</v>
      </c>
      <c r="H61" s="14" t="n">
        <f aca="false">WORKDAY(G61,F61-1,$M$6:$M$11)</f>
        <v>46444</v>
      </c>
      <c r="I61" s="72" t="n">
        <v>8</v>
      </c>
      <c r="J61" s="69" t="s">
        <v>92</v>
      </c>
      <c r="K61" s="12" t="s">
        <v>539</v>
      </c>
    </row>
    <row r="62" customFormat="false" ht="15" hidden="false" customHeight="false" outlineLevel="0" collapsed="false">
      <c r="A62" s="9" t="s">
        <v>180</v>
      </c>
      <c r="B62" s="66"/>
      <c r="C62" s="66"/>
      <c r="D62" s="66"/>
      <c r="E62" s="66"/>
      <c r="F62" s="66"/>
      <c r="G62" s="66"/>
      <c r="H62" s="66"/>
      <c r="I62" s="66"/>
      <c r="J62" s="66"/>
      <c r="K62" s="66"/>
    </row>
    <row r="63" customFormat="false" ht="23.85" hidden="false" customHeight="false" outlineLevel="0" collapsed="false">
      <c r="A63" s="69" t="n">
        <v>69</v>
      </c>
      <c r="B63" s="70" t="str">
        <f aca="false">IF('Scope Checklist'!A69="","-",'Scope Checklist'!A69)</f>
        <v>N10</v>
      </c>
      <c r="C63" s="71" t="str">
        <f aca="false">'Scope Checklist'!D69</f>
        <v>Duct modifications - removed partitions, kitchen hood + bath exhaust ducting</v>
      </c>
      <c r="D63" s="12" t="s">
        <v>552</v>
      </c>
      <c r="E63" s="72" t="n">
        <v>0</v>
      </c>
      <c r="F63" s="72" t="n">
        <v>3</v>
      </c>
      <c r="G63" s="14" t="n">
        <f aca="false">WORKDAY(MAX(H22,H35),1+E63,$M$6:$M$11)</f>
        <v>46378</v>
      </c>
      <c r="H63" s="14" t="n">
        <f aca="false">WORKDAY(G63,F63-1,$M$6:$M$11)</f>
        <v>46384</v>
      </c>
      <c r="I63" s="72" t="n">
        <v>24</v>
      </c>
      <c r="J63" s="69" t="s">
        <v>102</v>
      </c>
      <c r="K63" s="12" t="s">
        <v>553</v>
      </c>
    </row>
    <row r="64" customFormat="false" ht="15" hidden="false" customHeight="false" outlineLevel="0" collapsed="false">
      <c r="A64" s="69" t="n">
        <v>70</v>
      </c>
      <c r="B64" s="70" t="n">
        <f aca="false">IF('Scope Checklist'!A70="","-",'Scope Checklist'!A70)</f>
        <v>77</v>
      </c>
      <c r="C64" s="71" t="str">
        <f aca="false">'Scope Checklist'!D70</f>
        <v>Ductwork inspection / repair / clean</v>
      </c>
      <c r="D64" s="12" t="s">
        <v>554</v>
      </c>
      <c r="E64" s="72" t="n">
        <v>0</v>
      </c>
      <c r="F64" s="72" t="n">
        <v>2</v>
      </c>
      <c r="G64" s="14" t="n">
        <f aca="false">WORKDAY(H41,1+E64,$M$6:$M$11)</f>
        <v>46414</v>
      </c>
      <c r="H64" s="14" t="n">
        <f aca="false">WORKDAY(G64,F64-1,$M$6:$M$11)</f>
        <v>46415</v>
      </c>
      <c r="I64" s="72" t="n">
        <v>16</v>
      </c>
      <c r="J64" s="69" t="s">
        <v>102</v>
      </c>
      <c r="K64" s="12" t="s">
        <v>555</v>
      </c>
    </row>
    <row r="65" customFormat="false" ht="15" hidden="false" customHeight="false" outlineLevel="0" collapsed="false">
      <c r="A65" s="69" t="n">
        <v>71</v>
      </c>
      <c r="B65" s="70" t="n">
        <f aca="false">IF('Scope Checklist'!A71="","-",'Scope Checklist'!A71)</f>
        <v>75</v>
      </c>
      <c r="C65" s="71" t="str">
        <f aca="false">'Scope Checklist'!D71</f>
        <v>HVAC coil cleaning</v>
      </c>
      <c r="D65" s="12" t="s">
        <v>556</v>
      </c>
      <c r="E65" s="72" t="n">
        <v>0</v>
      </c>
      <c r="F65" s="72" t="n">
        <v>1</v>
      </c>
      <c r="G65" s="14" t="n">
        <f aca="false">WORKDAY(H41,1+E65,$M$6:$M$11)</f>
        <v>46414</v>
      </c>
      <c r="H65" s="14" t="n">
        <f aca="false">WORKDAY(G65,F65-1,$M$6:$M$11)</f>
        <v>46414</v>
      </c>
      <c r="I65" s="72" t="n">
        <v>4</v>
      </c>
      <c r="J65" s="69" t="s">
        <v>102</v>
      </c>
      <c r="K65" s="12" t="s">
        <v>557</v>
      </c>
    </row>
    <row r="66" customFormat="false" ht="15" hidden="false" customHeight="false" outlineLevel="0" collapsed="false">
      <c r="A66" s="69" t="n">
        <v>72</v>
      </c>
      <c r="B66" s="70" t="n">
        <f aca="false">IF('Scope Checklist'!A72="","-",'Scope Checklist'!A72)</f>
        <v>76</v>
      </c>
      <c r="C66" s="71" t="str">
        <f aca="false">'Scope Checklist'!D72</f>
        <v>HVAC coolant refill service</v>
      </c>
      <c r="D66" s="12" t="s">
        <v>558</v>
      </c>
      <c r="E66" s="72" t="n">
        <v>0</v>
      </c>
      <c r="F66" s="72" t="n">
        <v>1</v>
      </c>
      <c r="G66" s="14" t="n">
        <f aca="false">WORKDAY(G65,E66,$M$6:$M$11)</f>
        <v>46414</v>
      </c>
      <c r="H66" s="14" t="n">
        <f aca="false">WORKDAY(G66,F66-1,$M$6:$M$11)</f>
        <v>46414</v>
      </c>
      <c r="I66" s="72" t="n">
        <v>3</v>
      </c>
      <c r="J66" s="69" t="s">
        <v>102</v>
      </c>
      <c r="K66" s="12" t="s">
        <v>557</v>
      </c>
    </row>
    <row r="67" customFormat="false" ht="15" hidden="false" customHeight="false" outlineLevel="0" collapsed="false">
      <c r="A67" s="69" t="n">
        <v>73</v>
      </c>
      <c r="B67" s="70" t="n">
        <f aca="false">IF('Scope Checklist'!A73="","-",'Scope Checklist'!A73)</f>
        <v>78</v>
      </c>
      <c r="C67" s="71" t="str">
        <f aca="false">'Scope Checklist'!D73</f>
        <v>AC diffusers</v>
      </c>
      <c r="D67" s="12" t="s">
        <v>530</v>
      </c>
      <c r="E67" s="72" t="n">
        <v>0</v>
      </c>
      <c r="F67" s="72" t="n">
        <v>1</v>
      </c>
      <c r="G67" s="14" t="n">
        <f aca="false">WORKDAY(H43,1+E67,$M$6:$M$11)</f>
        <v>46443</v>
      </c>
      <c r="H67" s="14" t="n">
        <f aca="false">WORKDAY(G67,F67-1,$M$6:$M$11)</f>
        <v>46443</v>
      </c>
      <c r="I67" s="72" t="n">
        <v>4</v>
      </c>
      <c r="J67" s="69" t="s">
        <v>53</v>
      </c>
      <c r="K67" s="12" t="s">
        <v>559</v>
      </c>
    </row>
    <row r="68" customFormat="false" ht="15" hidden="false" customHeight="false" outlineLevel="0" collapsed="false">
      <c r="A68" s="69" t="n">
        <v>74</v>
      </c>
      <c r="B68" s="70" t="n">
        <f aca="false">IF('Scope Checklist'!A74="","-",'Scope Checklist'!A74)</f>
        <v>79</v>
      </c>
      <c r="C68" s="71" t="str">
        <f aca="false">'Scope Checklist'!D74</f>
        <v>Thermostat</v>
      </c>
      <c r="D68" s="12" t="s">
        <v>530</v>
      </c>
      <c r="E68" s="72" t="n">
        <v>0</v>
      </c>
      <c r="F68" s="72" t="n">
        <v>1</v>
      </c>
      <c r="G68" s="14" t="n">
        <f aca="false">WORKDAY(H43,1+E68,$M$6:$M$11)</f>
        <v>46443</v>
      </c>
      <c r="H68" s="14" t="n">
        <f aca="false">WORKDAY(G68,F68-1,$M$6:$M$11)</f>
        <v>46443</v>
      </c>
      <c r="I68" s="72" t="n">
        <v>2</v>
      </c>
      <c r="J68" s="69" t="s">
        <v>92</v>
      </c>
      <c r="K68" s="12" t="s">
        <v>539</v>
      </c>
    </row>
    <row r="69" customFormat="false" ht="23.85" hidden="false" customHeight="false" outlineLevel="0" collapsed="false">
      <c r="A69" s="69" t="n">
        <v>68</v>
      </c>
      <c r="B69" s="70" t="n">
        <f aca="false">IF('Scope Checklist'!A68="","-",'Scope Checklist'!A68)</f>
        <v>74</v>
      </c>
      <c r="C69" s="71" t="str">
        <f aca="false">'Scope Checklist'!D68</f>
        <v>HVAC maintenance + concrete slab repair</v>
      </c>
      <c r="D69" s="12" t="s">
        <v>560</v>
      </c>
      <c r="E69" s="72" t="n">
        <v>0</v>
      </c>
      <c r="F69" s="69" t="n">
        <f aca="false">NETWORKDAYS(G69,H69,$M$6:$M$11)</f>
        <v>30</v>
      </c>
      <c r="G69" s="14" t="n">
        <f aca="false">G37</f>
        <v>46371</v>
      </c>
      <c r="H69" s="14" t="n">
        <f aca="false">MAX(H37,H63,H64,H65,H66)</f>
        <v>46415</v>
      </c>
      <c r="I69" s="69" t="s">
        <v>31</v>
      </c>
      <c r="J69" s="69" t="s">
        <v>99</v>
      </c>
      <c r="K69" s="12" t="s">
        <v>561</v>
      </c>
    </row>
    <row r="70" customFormat="false" ht="15" hidden="false" customHeight="false" outlineLevel="0" collapsed="false">
      <c r="A70" s="9" t="s">
        <v>198</v>
      </c>
      <c r="B70" s="66"/>
      <c r="C70" s="66"/>
      <c r="D70" s="66"/>
      <c r="E70" s="66"/>
      <c r="F70" s="66"/>
      <c r="G70" s="66"/>
      <c r="H70" s="66"/>
      <c r="I70" s="66"/>
      <c r="J70" s="66"/>
      <c r="K70" s="66"/>
    </row>
    <row r="71" customFormat="false" ht="23.85" hidden="false" customHeight="false" outlineLevel="0" collapsed="false">
      <c r="A71" s="69" t="n">
        <v>76</v>
      </c>
      <c r="B71" s="70" t="str">
        <f aca="false">IF('Scope Checklist'!A76="","-",'Scope Checklist'!A76)</f>
        <v>N11</v>
      </c>
      <c r="C71" s="71" t="str">
        <f aca="false">'Scope Checklist'!D76</f>
        <v>Cabinet order - field-verify dimensions, PO + fabrication (3-4 wk)</v>
      </c>
      <c r="D71" s="12" t="s">
        <v>562</v>
      </c>
      <c r="E71" s="72" t="n">
        <v>0</v>
      </c>
      <c r="F71" s="72" t="n">
        <v>20</v>
      </c>
      <c r="G71" s="14" t="n">
        <f aca="false">WORKDAY(MAX(H35,H11),1+E71,$M$6:$M$11)</f>
        <v>46378</v>
      </c>
      <c r="H71" s="14" t="n">
        <f aca="false">WORKDAY(G71,F71-1,$M$6:$M$11)</f>
        <v>46408</v>
      </c>
      <c r="I71" s="72" t="n">
        <v>6</v>
      </c>
      <c r="J71" s="69" t="s">
        <v>53</v>
      </c>
      <c r="K71" s="12" t="s">
        <v>563</v>
      </c>
    </row>
    <row r="72" customFormat="false" ht="15" hidden="false" customHeight="false" outlineLevel="0" collapsed="false">
      <c r="A72" s="69" t="n">
        <v>77</v>
      </c>
      <c r="B72" s="70" t="n">
        <f aca="false">IF('Scope Checklist'!A77="","-",'Scope Checklist'!A77)</f>
        <v>80</v>
      </c>
      <c r="C72" s="71" t="str">
        <f aca="false">'Scope Checklist'!D77</f>
        <v>Kitchen cabinets + bathroom vanities (combined contract)</v>
      </c>
      <c r="D72" s="12" t="s">
        <v>564</v>
      </c>
      <c r="E72" s="72" t="n">
        <v>0</v>
      </c>
      <c r="F72" s="72" t="n">
        <v>2</v>
      </c>
      <c r="G72" s="14" t="n">
        <f aca="false">WORKDAY(MAX(H41,H71),1+E72,$M$6:$M$11)</f>
        <v>46414</v>
      </c>
      <c r="H72" s="14" t="n">
        <f aca="false">WORKDAY(G72,F72-1,$M$6:$M$11)</f>
        <v>46415</v>
      </c>
      <c r="I72" s="72" t="n">
        <v>16</v>
      </c>
      <c r="J72" s="69" t="s">
        <v>71</v>
      </c>
      <c r="K72" s="12" t="s">
        <v>565</v>
      </c>
    </row>
    <row r="73" customFormat="false" ht="23.85" hidden="false" customHeight="false" outlineLevel="0" collapsed="false">
      <c r="A73" s="69" t="n">
        <v>78</v>
      </c>
      <c r="B73" s="70" t="n">
        <f aca="false">IF('Scope Checklist'!A78="","-",'Scope Checklist'!A78)</f>
        <v>81</v>
      </c>
      <c r="C73" s="71" t="str">
        <f aca="false">'Scope Checklist'!D78</f>
        <v>Stone countertops + backsplash (kitchen + baths)</v>
      </c>
      <c r="D73" s="12" t="s">
        <v>566</v>
      </c>
      <c r="E73" s="72" t="n">
        <v>0</v>
      </c>
      <c r="F73" s="72" t="n">
        <v>8</v>
      </c>
      <c r="G73" s="14" t="n">
        <f aca="false">WORKDAY(H72,1+E73,$M$6:$M$11)</f>
        <v>46416</v>
      </c>
      <c r="H73" s="14" t="n">
        <f aca="false">WORKDAY(G73,F73-1,$M$6:$M$11)</f>
        <v>46427</v>
      </c>
      <c r="I73" s="72" t="n">
        <v>12</v>
      </c>
      <c r="J73" s="69" t="s">
        <v>211</v>
      </c>
      <c r="K73" s="12" t="s">
        <v>567</v>
      </c>
    </row>
    <row r="74" customFormat="false" ht="23.85" hidden="false" customHeight="false" outlineLevel="0" collapsed="false">
      <c r="A74" s="69" t="n">
        <v>79</v>
      </c>
      <c r="B74" s="70" t="n">
        <f aca="false">IF('Scope Checklist'!A79="","-",'Scope Checklist'!A79)</f>
        <v>82</v>
      </c>
      <c r="C74" s="71" t="str">
        <f aca="false">'Scope Checklist'!D79</f>
        <v>Kitchen sink - purchase</v>
      </c>
      <c r="D74" s="12" t="s">
        <v>568</v>
      </c>
      <c r="E74" s="72" t="n">
        <v>5</v>
      </c>
      <c r="F74" s="72" t="n">
        <v>5</v>
      </c>
      <c r="G74" s="14" t="n">
        <f aca="false">WORKDAY(G71,E74,$M$6:$M$11)</f>
        <v>46387</v>
      </c>
      <c r="H74" s="14" t="n">
        <f aca="false">WORKDAY(G74,F74-1,$M$6:$M$11)</f>
        <v>46394</v>
      </c>
      <c r="I74" s="72" t="n">
        <v>3</v>
      </c>
      <c r="J74" s="69" t="s">
        <v>53</v>
      </c>
      <c r="K74" s="12" t="s">
        <v>569</v>
      </c>
    </row>
    <row r="75" customFormat="false" ht="15" hidden="false" customHeight="false" outlineLevel="0" collapsed="false">
      <c r="A75" s="69" t="n">
        <v>80</v>
      </c>
      <c r="B75" s="70" t="n">
        <f aca="false">IF('Scope Checklist'!A80="","-",'Scope Checklist'!A80)</f>
        <v>83</v>
      </c>
      <c r="C75" s="71" t="str">
        <f aca="false">'Scope Checklist'!D80</f>
        <v>Kitchen faucet</v>
      </c>
      <c r="D75" s="12" t="s">
        <v>570</v>
      </c>
      <c r="E75" s="72" t="n">
        <v>5</v>
      </c>
      <c r="F75" s="72" t="n">
        <v>5</v>
      </c>
      <c r="G75" s="14" t="n">
        <f aca="false">WORKDAY(G71,E75,$M$6:$M$11)</f>
        <v>46387</v>
      </c>
      <c r="H75" s="14" t="n">
        <f aca="false">WORKDAY(G75,F75-1,$M$6:$M$11)</f>
        <v>46394</v>
      </c>
      <c r="I75" s="72" t="n">
        <v>2</v>
      </c>
      <c r="J75" s="69" t="s">
        <v>158</v>
      </c>
      <c r="K75" s="12" t="s">
        <v>571</v>
      </c>
    </row>
    <row r="76" customFormat="false" ht="23.85" hidden="false" customHeight="false" outlineLevel="0" collapsed="false">
      <c r="A76" s="69" t="n">
        <v>81</v>
      </c>
      <c r="B76" s="70" t="n">
        <f aca="false">IF('Scope Checklist'!A81="","-",'Scope Checklist'!A81)</f>
        <v>84</v>
      </c>
      <c r="C76" s="71" t="str">
        <f aca="false">'Scope Checklist'!D81</f>
        <v>Appliance package - purchase, transport, install</v>
      </c>
      <c r="D76" s="12" t="s">
        <v>572</v>
      </c>
      <c r="E76" s="72" t="n">
        <v>5</v>
      </c>
      <c r="F76" s="72" t="n">
        <v>10</v>
      </c>
      <c r="G76" s="14" t="n">
        <f aca="false">WORKDAY(G71,E76,$M$6:$M$11)</f>
        <v>46387</v>
      </c>
      <c r="H76" s="14" t="n">
        <f aca="false">WORKDAY(G76,F76-1,$M$6:$M$11)</f>
        <v>46401</v>
      </c>
      <c r="I76" s="72" t="n">
        <v>16</v>
      </c>
      <c r="J76" s="69" t="s">
        <v>53</v>
      </c>
      <c r="K76" s="12" t="s">
        <v>573</v>
      </c>
    </row>
    <row r="77" customFormat="false" ht="23.85" hidden="false" customHeight="false" outlineLevel="0" collapsed="false">
      <c r="A77" s="69" t="n">
        <v>82</v>
      </c>
      <c r="B77" s="70" t="str">
        <f aca="false">IF('Scope Checklist'!A82="","-",'Scope Checklist'!A82)</f>
        <v>N12</v>
      </c>
      <c r="C77" s="71" t="str">
        <f aca="false">'Scope Checklist'!D82</f>
        <v>Appliance install + hook-ups (oven, cooktop, DW, disposal, hood, fridge line)</v>
      </c>
      <c r="D77" s="12" t="s">
        <v>574</v>
      </c>
      <c r="E77" s="72" t="n">
        <v>0</v>
      </c>
      <c r="F77" s="72" t="n">
        <v>2</v>
      </c>
      <c r="G77" s="14" t="n">
        <f aca="false">WORKDAY(MAX(H73,H48,H60),1+E77,$M$6:$M$11)</f>
        <v>46448</v>
      </c>
      <c r="H77" s="14" t="n">
        <f aca="false">WORKDAY(G77,F77-1,$M$6:$M$11)</f>
        <v>46449</v>
      </c>
      <c r="I77" s="72" t="n">
        <v>12</v>
      </c>
      <c r="J77" s="69" t="s">
        <v>92</v>
      </c>
      <c r="K77" s="12" t="s">
        <v>575</v>
      </c>
    </row>
    <row r="78" customFormat="false" ht="23.85" hidden="false" customHeight="false" outlineLevel="0" collapsed="false">
      <c r="A78" s="69" t="n">
        <v>83</v>
      </c>
      <c r="B78" s="70" t="n">
        <f aca="false">IF('Scope Checklist'!A83="","-",'Scope Checklist'!A83)</f>
        <v>86</v>
      </c>
      <c r="C78" s="71" t="str">
        <f aca="false">'Scope Checklist'!D83</f>
        <v>Under-cabinet lighting</v>
      </c>
      <c r="D78" s="12" t="s">
        <v>576</v>
      </c>
      <c r="E78" s="72" t="n">
        <v>0</v>
      </c>
      <c r="F78" s="72" t="n">
        <v>1</v>
      </c>
      <c r="G78" s="14" t="n">
        <f aca="false">WORKDAY(G48,E78,$M$6:$M$11)</f>
        <v>46443</v>
      </c>
      <c r="H78" s="14" t="n">
        <f aca="false">WORKDAY(G78,F78-1,$M$6:$M$11)</f>
        <v>46443</v>
      </c>
      <c r="I78" s="72" t="n">
        <v>4</v>
      </c>
      <c r="J78" s="69" t="s">
        <v>53</v>
      </c>
      <c r="K78" s="12" t="s">
        <v>577</v>
      </c>
    </row>
    <row r="80" customFormat="false" ht="15" hidden="false" customHeight="false" outlineLevel="0" collapsed="false">
      <c r="C80" s="4" t="s">
        <v>578</v>
      </c>
    </row>
    <row r="81" customFormat="false" ht="15" hidden="false" customHeight="false" outlineLevel="0" collapsed="false">
      <c r="C81" s="80" t="s">
        <v>579</v>
      </c>
      <c r="H81" s="81" t="n">
        <f aca="false">MAX(H21,H22,H23,H24)</f>
        <v>46370</v>
      </c>
    </row>
    <row r="82" customFormat="false" ht="15" hidden="false" customHeight="false" outlineLevel="0" collapsed="false">
      <c r="C82" s="80" t="s">
        <v>580</v>
      </c>
      <c r="H82" s="81" t="n">
        <f aca="false">H38</f>
        <v>46394</v>
      </c>
    </row>
    <row r="83" customFormat="false" ht="15" hidden="false" customHeight="false" outlineLevel="0" collapsed="false">
      <c r="C83" s="80" t="s">
        <v>581</v>
      </c>
      <c r="H83" s="81" t="n">
        <f aca="false">H41</f>
        <v>46413</v>
      </c>
    </row>
    <row r="84" customFormat="false" ht="15" hidden="false" customHeight="false" outlineLevel="0" collapsed="false">
      <c r="C84" s="80" t="s">
        <v>582</v>
      </c>
      <c r="H84" s="81" t="n">
        <f aca="false">H57</f>
        <v>46374</v>
      </c>
    </row>
    <row r="85" customFormat="false" ht="15" hidden="false" customHeight="false" outlineLevel="0" collapsed="false">
      <c r="C85" s="80" t="s">
        <v>583</v>
      </c>
      <c r="H85" s="81" t="n">
        <f aca="false">H43</f>
        <v>46442</v>
      </c>
    </row>
    <row r="86" customFormat="false" ht="15" hidden="false" customHeight="false" outlineLevel="0" collapsed="false">
      <c r="C86" s="80" t="s">
        <v>584</v>
      </c>
      <c r="H86" s="81" t="n">
        <f aca="false">H55</f>
        <v>46448</v>
      </c>
    </row>
    <row r="87" customFormat="false" ht="15" hidden="false" customHeight="false" outlineLevel="0" collapsed="false">
      <c r="C87" s="80" t="s">
        <v>585</v>
      </c>
      <c r="H87" s="81" t="n">
        <f aca="false">MAX(H60,H61)</f>
        <v>46447</v>
      </c>
    </row>
    <row r="88" customFormat="false" ht="15" hidden="false" customHeight="false" outlineLevel="0" collapsed="false">
      <c r="C88" s="80" t="s">
        <v>586</v>
      </c>
      <c r="H88" s="81" t="n">
        <f aca="false">MAX(H67,H68)</f>
        <v>46443</v>
      </c>
    </row>
    <row r="89" customFormat="false" ht="15" hidden="false" customHeight="false" outlineLevel="0" collapsed="false">
      <c r="C89" s="80" t="s">
        <v>587</v>
      </c>
      <c r="H89" s="81" t="n">
        <f aca="false">H73</f>
        <v>46427</v>
      </c>
    </row>
    <row r="90" customFormat="false" ht="15" hidden="false" customHeight="false" outlineLevel="0" collapsed="false">
      <c r="C90" s="80" t="s">
        <v>588</v>
      </c>
      <c r="H90" s="81" t="n">
        <f aca="false">MAX(H77,H78)</f>
        <v>46449</v>
      </c>
    </row>
    <row r="91" customFormat="false" ht="15" hidden="false" customHeight="false" outlineLevel="0" collapsed="false">
      <c r="C91" s="80" t="s">
        <v>589</v>
      </c>
      <c r="I91" s="82" t="n">
        <f aca="false">SUM(I7:I30)</f>
        <v>217</v>
      </c>
    </row>
    <row r="92" customFormat="false" ht="15" hidden="false" customHeight="false" outlineLevel="0" collapsed="false">
      <c r="C92" s="80" t="s">
        <v>590</v>
      </c>
      <c r="I92" s="82" t="n">
        <f aca="false">SUM(I32:I41)</f>
        <v>360</v>
      </c>
    </row>
    <row r="93" customFormat="false" ht="15" hidden="false" customHeight="false" outlineLevel="0" collapsed="false">
      <c r="C93" s="80" t="s">
        <v>591</v>
      </c>
      <c r="I93" s="82" t="n">
        <f aca="false">SUM(I45:I55)</f>
        <v>139</v>
      </c>
    </row>
    <row r="94" customFormat="false" ht="15" hidden="false" customHeight="false" outlineLevel="0" collapsed="false">
      <c r="C94" s="80" t="s">
        <v>592</v>
      </c>
      <c r="I94" s="82" t="n">
        <f aca="false">SUM(I57:I61)</f>
        <v>94</v>
      </c>
    </row>
    <row r="95" customFormat="false" ht="15" hidden="false" customHeight="false" outlineLevel="0" collapsed="false">
      <c r="C95" s="80" t="s">
        <v>593</v>
      </c>
      <c r="I95" s="82" t="n">
        <f aca="false">SUM(I63:I69)</f>
        <v>53</v>
      </c>
    </row>
    <row r="96" customFormat="false" ht="15" hidden="false" customHeight="false" outlineLevel="0" collapsed="false">
      <c r="C96" s="80" t="s">
        <v>594</v>
      </c>
      <c r="I96" s="82" t="n">
        <f aca="false">SUM(I71:I78)</f>
        <v>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100"/>
  </cols>
  <sheetData>
    <row r="1" customFormat="false" ht="15" hidden="false" customHeight="true" outlineLevel="0" collapsed="false">
      <c r="A1" s="83" t="s">
        <v>595</v>
      </c>
    </row>
    <row r="2" customFormat="false" ht="14.25" hidden="false" customHeight="false" outlineLevel="0" collapsed="false">
      <c r="A2" s="6" t="s">
        <v>596</v>
      </c>
    </row>
    <row r="4" customFormat="false" ht="14.25" hidden="false" customHeight="false" outlineLevel="0" collapsed="false">
      <c r="A4" s="84" t="s">
        <v>597</v>
      </c>
      <c r="B4" s="84"/>
      <c r="C4" s="84"/>
    </row>
    <row r="5" customFormat="false" ht="14.25" hidden="false" customHeight="false" outlineLevel="0" collapsed="false">
      <c r="A5" s="85" t="s">
        <v>598</v>
      </c>
      <c r="B5" s="85" t="s">
        <v>21</v>
      </c>
      <c r="C5" s="85" t="s">
        <v>599</v>
      </c>
    </row>
    <row r="6" customFormat="false" ht="14.25" hidden="false" customHeight="false" outlineLevel="0" collapsed="false">
      <c r="A6" s="86" t="s">
        <v>52</v>
      </c>
      <c r="B6" s="18" t="s">
        <v>53</v>
      </c>
      <c r="C6" s="12" t="s">
        <v>600</v>
      </c>
    </row>
    <row r="7" customFormat="false" ht="14.25" hidden="false" customHeight="false" outlineLevel="0" collapsed="false">
      <c r="A7" s="86" t="s">
        <v>67</v>
      </c>
      <c r="B7" s="18" t="s">
        <v>53</v>
      </c>
      <c r="C7" s="12" t="s">
        <v>601</v>
      </c>
    </row>
    <row r="8" customFormat="false" ht="14.25" hidden="false" customHeight="false" outlineLevel="0" collapsed="false">
      <c r="A8" s="86" t="s">
        <v>64</v>
      </c>
      <c r="B8" s="18" t="s">
        <v>53</v>
      </c>
      <c r="C8" s="12" t="s">
        <v>602</v>
      </c>
    </row>
    <row r="9" customFormat="false" ht="14.25" hidden="false" customHeight="false" outlineLevel="0" collapsed="false">
      <c r="A9" s="86" t="s">
        <v>61</v>
      </c>
      <c r="B9" s="18" t="s">
        <v>53</v>
      </c>
      <c r="C9" s="12" t="s">
        <v>603</v>
      </c>
    </row>
    <row r="10" customFormat="false" ht="14.25" hidden="false" customHeight="false" outlineLevel="0" collapsed="false">
      <c r="A10" s="86" t="s">
        <v>70</v>
      </c>
      <c r="B10" s="18" t="s">
        <v>71</v>
      </c>
      <c r="C10" s="12" t="s">
        <v>604</v>
      </c>
    </row>
    <row r="11" customFormat="false" ht="26.25" hidden="false" customHeight="true" outlineLevel="0" collapsed="false">
      <c r="A11" s="86" t="s">
        <v>74</v>
      </c>
      <c r="B11" s="18" t="s">
        <v>71</v>
      </c>
      <c r="C11" s="12" t="s">
        <v>605</v>
      </c>
    </row>
    <row r="12" customFormat="false" ht="14.25" hidden="false" customHeight="false" outlineLevel="0" collapsed="false">
      <c r="A12" s="86" t="s">
        <v>606</v>
      </c>
      <c r="B12" s="18" t="s">
        <v>31</v>
      </c>
      <c r="C12" s="12" t="s">
        <v>607</v>
      </c>
    </row>
    <row r="13" customFormat="false" ht="26.25" hidden="false" customHeight="true" outlineLevel="0" collapsed="false">
      <c r="A13" s="86" t="s">
        <v>91</v>
      </c>
      <c r="B13" s="18" t="s">
        <v>92</v>
      </c>
      <c r="C13" s="12" t="s">
        <v>608</v>
      </c>
    </row>
    <row r="14" customFormat="false" ht="14.25" hidden="false" customHeight="false" outlineLevel="0" collapsed="false">
      <c r="A14" s="86" t="s">
        <v>110</v>
      </c>
      <c r="B14" s="18" t="s">
        <v>609</v>
      </c>
      <c r="C14" s="12" t="s">
        <v>610</v>
      </c>
    </row>
    <row r="15" customFormat="false" ht="14.25" hidden="false" customHeight="false" outlineLevel="0" collapsed="false">
      <c r="A15" s="86" t="s">
        <v>138</v>
      </c>
      <c r="B15" s="18" t="s">
        <v>71</v>
      </c>
      <c r="C15" s="12" t="s">
        <v>611</v>
      </c>
    </row>
    <row r="16" customFormat="false" ht="26.25" hidden="false" customHeight="true" outlineLevel="0" collapsed="false">
      <c r="A16" s="86" t="s">
        <v>205</v>
      </c>
      <c r="B16" s="18" t="s">
        <v>71</v>
      </c>
      <c r="C16" s="12" t="s">
        <v>612</v>
      </c>
    </row>
    <row r="17" customFormat="false" ht="26.25" hidden="false" customHeight="true" outlineLevel="0" collapsed="false">
      <c r="A17" s="86" t="s">
        <v>210</v>
      </c>
      <c r="B17" s="18" t="s">
        <v>613</v>
      </c>
      <c r="C17" s="12" t="s">
        <v>614</v>
      </c>
    </row>
    <row r="18" customFormat="false" ht="26.25" hidden="false" customHeight="true" outlineLevel="0" collapsed="false">
      <c r="A18" s="86" t="s">
        <v>215</v>
      </c>
      <c r="B18" s="18" t="s">
        <v>293</v>
      </c>
      <c r="C18" s="12" t="s">
        <v>615</v>
      </c>
    </row>
    <row r="19" customFormat="false" ht="39" hidden="false" customHeight="true" outlineLevel="0" collapsed="false">
      <c r="A19" s="86" t="s">
        <v>157</v>
      </c>
      <c r="B19" s="18" t="s">
        <v>293</v>
      </c>
      <c r="C19" s="12" t="s">
        <v>616</v>
      </c>
    </row>
    <row r="20" customFormat="false" ht="14.25" hidden="false" customHeight="false" outlineLevel="0" collapsed="false">
      <c r="A20" s="86" t="s">
        <v>381</v>
      </c>
      <c r="B20" s="18" t="s">
        <v>53</v>
      </c>
      <c r="C20" s="12" t="s">
        <v>617</v>
      </c>
    </row>
    <row r="21" customFormat="false" ht="26.25" hidden="false" customHeight="true" outlineLevel="0" collapsed="false">
      <c r="A21" s="86" t="s">
        <v>414</v>
      </c>
      <c r="B21" s="18" t="s">
        <v>53</v>
      </c>
      <c r="C21" s="12" t="s">
        <v>618</v>
      </c>
    </row>
    <row r="22" customFormat="false" ht="14.25" hidden="false" customHeight="false" outlineLevel="0" collapsed="false">
      <c r="A22" s="86" t="s">
        <v>252</v>
      </c>
      <c r="B22" s="18" t="s">
        <v>92</v>
      </c>
      <c r="C22" s="12" t="s">
        <v>619</v>
      </c>
    </row>
    <row r="23" customFormat="false" ht="26.25" hidden="false" customHeight="true" outlineLevel="0" collapsed="false">
      <c r="A23" s="86" t="s">
        <v>255</v>
      </c>
      <c r="B23" s="18" t="s">
        <v>92</v>
      </c>
      <c r="C23" s="12" t="s">
        <v>620</v>
      </c>
    </row>
    <row r="24" customFormat="false" ht="14.25" hidden="false" customHeight="false" outlineLevel="0" collapsed="false">
      <c r="A24" s="86" t="s">
        <v>397</v>
      </c>
      <c r="B24" s="18" t="s">
        <v>53</v>
      </c>
      <c r="C24" s="12" t="s">
        <v>621</v>
      </c>
    </row>
    <row r="25" customFormat="false" ht="14.25" hidden="false" customHeight="false" outlineLevel="0" collapsed="false">
      <c r="A25" s="86" t="s">
        <v>240</v>
      </c>
      <c r="B25" s="18" t="s">
        <v>92</v>
      </c>
      <c r="C25" s="12" t="s">
        <v>622</v>
      </c>
    </row>
    <row r="26" customFormat="false" ht="26.25" hidden="false" customHeight="true" outlineLevel="0" collapsed="false">
      <c r="A26" s="86" t="s">
        <v>623</v>
      </c>
      <c r="B26" s="18" t="s">
        <v>102</v>
      </c>
      <c r="C26" s="12" t="s">
        <v>624</v>
      </c>
    </row>
    <row r="28" customFormat="false" ht="14.25" hidden="false" customHeight="false" outlineLevel="0" collapsed="false">
      <c r="A28" s="87" t="s">
        <v>625</v>
      </c>
      <c r="B28" s="87"/>
      <c r="C28" s="87"/>
    </row>
    <row r="29" customFormat="false" ht="14.25" hidden="false" customHeight="false" outlineLevel="0" collapsed="false">
      <c r="A29" s="85" t="s">
        <v>598</v>
      </c>
      <c r="B29" s="85" t="s">
        <v>21</v>
      </c>
      <c r="C29" s="85" t="s">
        <v>599</v>
      </c>
    </row>
    <row r="30" customFormat="false" ht="26.25" hidden="false" customHeight="true" outlineLevel="0" collapsed="false">
      <c r="A30" s="86" t="s">
        <v>260</v>
      </c>
      <c r="B30" s="18" t="s">
        <v>368</v>
      </c>
      <c r="C30" s="12" t="s">
        <v>626</v>
      </c>
    </row>
    <row r="31" customFormat="false" ht="39" hidden="false" customHeight="true" outlineLevel="0" collapsed="false">
      <c r="A31" s="86" t="s">
        <v>131</v>
      </c>
      <c r="B31" s="18" t="s">
        <v>627</v>
      </c>
      <c r="C31" s="12" t="s">
        <v>628</v>
      </c>
    </row>
    <row r="32" customFormat="false" ht="26.25" hidden="false" customHeight="true" outlineLevel="0" collapsed="false">
      <c r="A32" s="86" t="s">
        <v>172</v>
      </c>
      <c r="B32" s="18" t="s">
        <v>92</v>
      </c>
      <c r="C32" s="12" t="s">
        <v>629</v>
      </c>
    </row>
    <row r="33" customFormat="false" ht="14.25" hidden="false" customHeight="false" outlineLevel="0" collapsed="false">
      <c r="A33" s="86" t="s">
        <v>367</v>
      </c>
      <c r="B33" s="18" t="s">
        <v>630</v>
      </c>
      <c r="C33" s="12" t="s">
        <v>631</v>
      </c>
    </row>
    <row r="34" customFormat="false" ht="14.25" hidden="false" customHeight="false" outlineLevel="0" collapsed="false">
      <c r="A34" s="86" t="s">
        <v>360</v>
      </c>
      <c r="B34" s="18" t="s">
        <v>632</v>
      </c>
      <c r="C34" s="12" t="s">
        <v>633</v>
      </c>
    </row>
    <row r="35" customFormat="false" ht="26.25" hidden="false" customHeight="true" outlineLevel="0" collapsed="false">
      <c r="A35" s="86" t="s">
        <v>401</v>
      </c>
      <c r="B35" s="18" t="s">
        <v>398</v>
      </c>
      <c r="C35" s="12" t="s">
        <v>634</v>
      </c>
    </row>
    <row r="36" customFormat="false" ht="26.25" hidden="false" customHeight="true" outlineLevel="0" collapsed="false">
      <c r="A36" s="86" t="s">
        <v>406</v>
      </c>
      <c r="B36" s="18" t="s">
        <v>398</v>
      </c>
      <c r="C36" s="12" t="s">
        <v>635</v>
      </c>
    </row>
    <row r="37" customFormat="false" ht="14.25" hidden="false" customHeight="false" outlineLevel="0" collapsed="false">
      <c r="A37" s="86" t="s">
        <v>409</v>
      </c>
      <c r="B37" s="18" t="s">
        <v>410</v>
      </c>
      <c r="C37" s="12" t="s">
        <v>636</v>
      </c>
    </row>
    <row r="38" customFormat="false" ht="14.25" hidden="false" customHeight="false" outlineLevel="0" collapsed="false">
      <c r="A38" s="86" t="s">
        <v>427</v>
      </c>
      <c r="B38" s="18" t="s">
        <v>637</v>
      </c>
      <c r="C38" s="12" t="s">
        <v>638</v>
      </c>
    </row>
    <row r="39" customFormat="false" ht="14.25" hidden="false" customHeight="false" outlineLevel="0" collapsed="false">
      <c r="A39" s="86" t="s">
        <v>424</v>
      </c>
      <c r="B39" s="18" t="s">
        <v>368</v>
      </c>
      <c r="C39" s="12" t="s">
        <v>639</v>
      </c>
    </row>
    <row r="40" customFormat="false" ht="14.25" hidden="false" customHeight="false" outlineLevel="0" collapsed="false">
      <c r="A40" s="86" t="s">
        <v>388</v>
      </c>
      <c r="B40" s="18" t="s">
        <v>389</v>
      </c>
      <c r="C40" s="12" t="s">
        <v>640</v>
      </c>
    </row>
    <row r="41" customFormat="false" ht="14.25" hidden="false" customHeight="false" outlineLevel="0" collapsed="false">
      <c r="A41" s="86" t="s">
        <v>327</v>
      </c>
      <c r="B41" s="18" t="s">
        <v>293</v>
      </c>
      <c r="C41" s="12" t="s">
        <v>641</v>
      </c>
    </row>
    <row r="42" customFormat="false" ht="14.25" hidden="false" customHeight="false" outlineLevel="0" collapsed="false">
      <c r="A42" s="86" t="s">
        <v>275</v>
      </c>
      <c r="B42" s="18" t="s">
        <v>123</v>
      </c>
      <c r="C42" s="12" t="s">
        <v>642</v>
      </c>
    </row>
    <row r="43" customFormat="false" ht="26.25" hidden="false" customHeight="true" outlineLevel="0" collapsed="false">
      <c r="A43" s="86" t="s">
        <v>277</v>
      </c>
      <c r="B43" s="18" t="s">
        <v>123</v>
      </c>
      <c r="C43" s="12" t="s">
        <v>643</v>
      </c>
    </row>
    <row r="44" customFormat="false" ht="14.25" hidden="false" customHeight="false" outlineLevel="0" collapsed="false">
      <c r="A44" s="86" t="s">
        <v>300</v>
      </c>
      <c r="B44" s="18" t="s">
        <v>279</v>
      </c>
      <c r="C44" s="12" t="s">
        <v>644</v>
      </c>
    </row>
    <row r="45" customFormat="false" ht="14.25" hidden="false" customHeight="false" outlineLevel="0" collapsed="false">
      <c r="A45" s="86" t="s">
        <v>645</v>
      </c>
      <c r="B45" s="18" t="s">
        <v>211</v>
      </c>
      <c r="C45" s="12" t="s">
        <v>646</v>
      </c>
    </row>
    <row r="46" customFormat="false" ht="14.25" hidden="false" customHeight="false" outlineLevel="0" collapsed="false">
      <c r="A46" s="86" t="s">
        <v>244</v>
      </c>
      <c r="B46" s="18" t="s">
        <v>92</v>
      </c>
      <c r="C46" s="12" t="s">
        <v>647</v>
      </c>
    </row>
    <row r="47" customFormat="false" ht="14.25" hidden="false" customHeight="false" outlineLevel="0" collapsed="false">
      <c r="A47" s="86" t="s">
        <v>319</v>
      </c>
      <c r="B47" s="18" t="s">
        <v>71</v>
      </c>
      <c r="C47" s="12" t="s">
        <v>648</v>
      </c>
    </row>
    <row r="48" customFormat="false" ht="14.25" hidden="false" customHeight="false" outlineLevel="0" collapsed="false">
      <c r="A48" s="86" t="s">
        <v>117</v>
      </c>
      <c r="B48" s="18" t="s">
        <v>92</v>
      </c>
      <c r="C48" s="12" t="s">
        <v>649</v>
      </c>
    </row>
    <row r="49" customFormat="false" ht="14.25" hidden="false" customHeight="false" outlineLevel="0" collapsed="false">
      <c r="A49" s="86" t="s">
        <v>311</v>
      </c>
      <c r="B49" s="18" t="s">
        <v>650</v>
      </c>
      <c r="C49" s="12" t="s">
        <v>651</v>
      </c>
    </row>
    <row r="50" customFormat="false" ht="14.25" hidden="false" customHeight="false" outlineLevel="0" collapsed="false">
      <c r="A50" s="86" t="s">
        <v>324</v>
      </c>
      <c r="B50" s="18" t="s">
        <v>279</v>
      </c>
      <c r="C50" s="12" t="s">
        <v>652</v>
      </c>
    </row>
    <row r="52" customFormat="false" ht="14.25" hidden="false" customHeight="false" outlineLevel="0" collapsed="false">
      <c r="A52" s="88" t="s">
        <v>653</v>
      </c>
      <c r="B52" s="88"/>
      <c r="C52" s="88"/>
    </row>
    <row r="53" customFormat="false" ht="14.25" hidden="false" customHeight="false" outlineLevel="0" collapsed="false">
      <c r="A53" s="85" t="s">
        <v>598</v>
      </c>
      <c r="B53" s="85" t="s">
        <v>21</v>
      </c>
      <c r="C53" s="85" t="s">
        <v>599</v>
      </c>
    </row>
    <row r="54" customFormat="false" ht="26.25" hidden="false" customHeight="true" outlineLevel="0" collapsed="false">
      <c r="A54" s="86" t="s">
        <v>265</v>
      </c>
      <c r="B54" s="18" t="s">
        <v>266</v>
      </c>
      <c r="C54" s="12" t="s">
        <v>654</v>
      </c>
    </row>
    <row r="55" customFormat="false" ht="14.25" hidden="false" customHeight="false" outlineLevel="0" collapsed="false">
      <c r="A55" s="86" t="s">
        <v>236</v>
      </c>
      <c r="B55" s="18" t="s">
        <v>92</v>
      </c>
      <c r="C55" s="12" t="s">
        <v>655</v>
      </c>
    </row>
    <row r="56" customFormat="false" ht="26.25" hidden="false" customHeight="true" outlineLevel="0" collapsed="false">
      <c r="A56" s="86" t="s">
        <v>269</v>
      </c>
      <c r="B56" s="18" t="s">
        <v>656</v>
      </c>
      <c r="C56" s="12" t="s">
        <v>657</v>
      </c>
    </row>
    <row r="57" customFormat="false" ht="14.25" hidden="false" customHeight="false" outlineLevel="0" collapsed="false">
      <c r="A57" s="86" t="s">
        <v>154</v>
      </c>
      <c r="B57" s="18" t="s">
        <v>92</v>
      </c>
      <c r="C57" s="12" t="s">
        <v>658</v>
      </c>
    </row>
    <row r="58" customFormat="false" ht="14.25" hidden="false" customHeight="false" outlineLevel="0" collapsed="false">
      <c r="A58" s="86" t="s">
        <v>659</v>
      </c>
      <c r="B58" s="18" t="s">
        <v>92</v>
      </c>
      <c r="C58" s="12" t="s">
        <v>660</v>
      </c>
    </row>
    <row r="59" customFormat="false" ht="14.25" hidden="false" customHeight="false" outlineLevel="0" collapsed="false">
      <c r="A59" s="86" t="s">
        <v>315</v>
      </c>
      <c r="B59" s="18" t="s">
        <v>71</v>
      </c>
      <c r="C59" s="12" t="s">
        <v>661</v>
      </c>
    </row>
    <row r="60" customFormat="false" ht="14.25" hidden="false" customHeight="false" outlineLevel="0" collapsed="false">
      <c r="A60" s="86" t="s">
        <v>421</v>
      </c>
      <c r="B60" s="18" t="s">
        <v>368</v>
      </c>
      <c r="C60" s="12" t="s">
        <v>662</v>
      </c>
    </row>
    <row r="61" customFormat="false" ht="26.25" hidden="false" customHeight="true" outlineLevel="0" collapsed="false">
      <c r="A61" s="86" t="s">
        <v>386</v>
      </c>
      <c r="B61" s="18" t="s">
        <v>279</v>
      </c>
      <c r="C61" s="12" t="s">
        <v>663</v>
      </c>
    </row>
    <row r="62" customFormat="false" ht="14.25" hidden="false" customHeight="false" outlineLevel="0" collapsed="false">
      <c r="A62" s="86" t="s">
        <v>330</v>
      </c>
      <c r="B62" s="18" t="s">
        <v>331</v>
      </c>
      <c r="C62" s="12" t="s">
        <v>664</v>
      </c>
    </row>
    <row r="63" customFormat="false" ht="14.25" hidden="false" customHeight="false" outlineLevel="0" collapsed="false">
      <c r="A63" s="86" t="s">
        <v>336</v>
      </c>
      <c r="B63" s="18" t="s">
        <v>53</v>
      </c>
      <c r="C63" s="12" t="s">
        <v>665</v>
      </c>
    </row>
    <row r="64" customFormat="false" ht="14.25" hidden="false" customHeight="false" outlineLevel="0" collapsed="false">
      <c r="A64" s="86" t="s">
        <v>339</v>
      </c>
      <c r="B64" s="18" t="s">
        <v>53</v>
      </c>
      <c r="C64" s="12" t="s">
        <v>666</v>
      </c>
    </row>
    <row r="65" customFormat="false" ht="14.25" hidden="false" customHeight="false" outlineLevel="0" collapsed="false">
      <c r="A65" s="86" t="s">
        <v>344</v>
      </c>
      <c r="B65" s="18" t="s">
        <v>650</v>
      </c>
      <c r="C65" s="12" t="s">
        <v>667</v>
      </c>
    </row>
    <row r="66" customFormat="false" ht="14.25" hidden="false" customHeight="false" outlineLevel="0" collapsed="false">
      <c r="A66" s="86" t="s">
        <v>342</v>
      </c>
      <c r="B66" s="18" t="s">
        <v>53</v>
      </c>
      <c r="C66" s="12" t="s">
        <v>341</v>
      </c>
    </row>
    <row r="67" customFormat="false" ht="14.25" hidden="false" customHeight="false" outlineLevel="0" collapsed="false">
      <c r="A67" s="86" t="s">
        <v>347</v>
      </c>
      <c r="B67" s="18" t="s">
        <v>650</v>
      </c>
      <c r="C67" s="12" t="s">
        <v>346</v>
      </c>
    </row>
    <row r="68" customFormat="false" ht="14.25" hidden="false" customHeight="false" outlineLevel="0" collapsed="false">
      <c r="A68" s="86" t="s">
        <v>349</v>
      </c>
      <c r="B68" s="18" t="s">
        <v>650</v>
      </c>
      <c r="C68" s="12" t="s">
        <v>668</v>
      </c>
    </row>
    <row r="69" customFormat="false" ht="26.25" hidden="false" customHeight="true" outlineLevel="0" collapsed="false">
      <c r="A69" s="86" t="s">
        <v>669</v>
      </c>
      <c r="B69" s="18" t="s">
        <v>31</v>
      </c>
      <c r="C69" s="12" t="s">
        <v>670</v>
      </c>
    </row>
    <row r="71" customFormat="false" ht="14.25" hidden="false" customHeight="false" outlineLevel="0" collapsed="false">
      <c r="A71" s="89" t="s">
        <v>671</v>
      </c>
      <c r="B71" s="89"/>
      <c r="C71" s="89"/>
    </row>
  </sheetData>
  <mergeCells count="4">
    <mergeCell ref="A4:C4"/>
    <mergeCell ref="A28:C28"/>
    <mergeCell ref="A52:C52"/>
    <mergeCell ref="A71:C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70"/>
  </cols>
  <sheetData>
    <row r="1" customFormat="false" ht="15.75" hidden="false" customHeight="true" outlineLevel="0" collapsed="false">
      <c r="A1" s="90" t="s">
        <v>672</v>
      </c>
    </row>
    <row r="2" customFormat="false" ht="15" hidden="false" customHeight="true" outlineLevel="0" collapsed="false">
      <c r="A2" s="4" t="s">
        <v>673</v>
      </c>
    </row>
    <row r="4" customFormat="false" ht="15" hidden="false" customHeight="true" outlineLevel="0" collapsed="false">
      <c r="A4" s="8" t="s">
        <v>12</v>
      </c>
      <c r="B4" s="8" t="s">
        <v>674</v>
      </c>
      <c r="C4" s="8" t="s">
        <v>22</v>
      </c>
      <c r="D4" s="8" t="s">
        <v>675</v>
      </c>
      <c r="E4" s="8" t="s">
        <v>23</v>
      </c>
      <c r="F4" s="8" t="s">
        <v>676</v>
      </c>
      <c r="G4" s="8" t="s">
        <v>677</v>
      </c>
    </row>
    <row r="5" customFormat="false" ht="15" hidden="false" customHeight="true" outlineLevel="0" collapsed="false">
      <c r="A5" s="11" t="s">
        <v>678</v>
      </c>
      <c r="B5" s="12" t="s">
        <v>679</v>
      </c>
      <c r="C5" s="19" t="n">
        <v>30297</v>
      </c>
      <c r="D5" s="19"/>
      <c r="E5" s="19" t="n">
        <v>0</v>
      </c>
      <c r="F5" s="12" t="s">
        <v>680</v>
      </c>
      <c r="G5" s="12" t="s">
        <v>681</v>
      </c>
    </row>
    <row r="6" customFormat="false" ht="15" hidden="false" customHeight="true" outlineLevel="0" collapsed="false">
      <c r="A6" s="21" t="s">
        <v>682</v>
      </c>
      <c r="B6" s="22" t="s">
        <v>683</v>
      </c>
      <c r="C6" s="25" t="n">
        <v>19825.36</v>
      </c>
      <c r="D6" s="25" t="n">
        <v>300</v>
      </c>
      <c r="E6" s="25" t="n">
        <v>0</v>
      </c>
      <c r="F6" s="22" t="s">
        <v>680</v>
      </c>
      <c r="G6" s="22" t="s">
        <v>684</v>
      </c>
    </row>
    <row r="7" customFormat="false" ht="23.25" hidden="false" customHeight="true" outlineLevel="0" collapsed="false">
      <c r="A7" s="11" t="s">
        <v>685</v>
      </c>
      <c r="B7" s="12" t="s">
        <v>686</v>
      </c>
      <c r="C7" s="19" t="n">
        <v>14000</v>
      </c>
      <c r="D7" s="19" t="n">
        <v>0</v>
      </c>
      <c r="E7" s="19" t="n">
        <v>7000</v>
      </c>
      <c r="F7" s="12" t="s">
        <v>680</v>
      </c>
      <c r="G7" s="12" t="s">
        <v>687</v>
      </c>
    </row>
    <row r="8" customFormat="false" ht="15" hidden="false" customHeight="true" outlineLevel="0" collapsed="false">
      <c r="A8" s="21" t="s">
        <v>68</v>
      </c>
      <c r="B8" s="22" t="s">
        <v>688</v>
      </c>
      <c r="C8" s="25"/>
      <c r="D8" s="25" t="n">
        <v>0</v>
      </c>
      <c r="E8" s="25" t="n">
        <v>1500</v>
      </c>
      <c r="F8" s="22" t="s">
        <v>680</v>
      </c>
      <c r="G8" s="22" t="s">
        <v>689</v>
      </c>
    </row>
    <row r="9" customFormat="false" ht="15" hidden="false" customHeight="true" outlineLevel="0" collapsed="false">
      <c r="A9" s="11" t="s">
        <v>690</v>
      </c>
      <c r="B9" s="12" t="s">
        <v>691</v>
      </c>
      <c r="C9" s="19"/>
      <c r="D9" s="19" t="n">
        <v>0</v>
      </c>
      <c r="E9" s="19" t="n">
        <v>3500</v>
      </c>
      <c r="F9" s="12" t="s">
        <v>692</v>
      </c>
      <c r="G9" s="12" t="s">
        <v>693</v>
      </c>
    </row>
    <row r="10" customFormat="false" ht="15" hidden="false" customHeight="true" outlineLevel="0" collapsed="false">
      <c r="A10" s="21" t="s">
        <v>694</v>
      </c>
      <c r="B10" s="22" t="s">
        <v>695</v>
      </c>
      <c r="C10" s="25" t="n">
        <v>3000</v>
      </c>
      <c r="D10" s="25" t="n">
        <v>0</v>
      </c>
      <c r="E10" s="25" t="n">
        <v>3000</v>
      </c>
      <c r="F10" s="22" t="s">
        <v>692</v>
      </c>
      <c r="G10" s="22" t="s">
        <v>696</v>
      </c>
    </row>
    <row r="11" customFormat="false" ht="15" hidden="false" customHeight="true" outlineLevel="0" collapsed="false">
      <c r="A11" s="11" t="s">
        <v>201</v>
      </c>
      <c r="B11" s="12" t="s">
        <v>697</v>
      </c>
      <c r="C11" s="19" t="n">
        <v>21750</v>
      </c>
      <c r="D11" s="19" t="n">
        <v>0</v>
      </c>
      <c r="E11" s="19" t="n">
        <v>4875</v>
      </c>
      <c r="F11" s="12" t="s">
        <v>692</v>
      </c>
      <c r="G11" s="12" t="s">
        <v>698</v>
      </c>
    </row>
    <row r="12" customFormat="false" ht="23.25" hidden="false" customHeight="true" outlineLevel="0" collapsed="false">
      <c r="A12" s="21" t="s">
        <v>208</v>
      </c>
      <c r="B12" s="22" t="s">
        <v>699</v>
      </c>
      <c r="C12" s="25" t="n">
        <v>5925</v>
      </c>
      <c r="D12" s="25" t="n">
        <v>0</v>
      </c>
      <c r="E12" s="25" t="n">
        <v>4500</v>
      </c>
      <c r="F12" s="22" t="s">
        <v>692</v>
      </c>
      <c r="G12" s="22" t="s">
        <v>700</v>
      </c>
    </row>
    <row r="13" customFormat="false" ht="23.25" hidden="false" customHeight="true" outlineLevel="0" collapsed="false">
      <c r="A13" s="11" t="s">
        <v>701</v>
      </c>
      <c r="B13" s="12" t="s">
        <v>702</v>
      </c>
      <c r="C13" s="19" t="n">
        <v>9100</v>
      </c>
      <c r="D13" s="19" t="n">
        <v>0</v>
      </c>
      <c r="E13" s="19" t="n">
        <v>9100</v>
      </c>
      <c r="F13" s="12" t="s">
        <v>692</v>
      </c>
      <c r="G13" s="12" t="s">
        <v>703</v>
      </c>
    </row>
    <row r="14" customFormat="false" ht="15" hidden="false" customHeight="true" outlineLevel="0" collapsed="false">
      <c r="A14" s="21" t="s">
        <v>704</v>
      </c>
      <c r="B14" s="22" t="s">
        <v>705</v>
      </c>
      <c r="C14" s="25"/>
      <c r="D14" s="25" t="n">
        <v>0</v>
      </c>
      <c r="E14" s="25" t="n">
        <v>500</v>
      </c>
      <c r="F14" s="22" t="s">
        <v>692</v>
      </c>
      <c r="G14" s="22" t="s">
        <v>706</v>
      </c>
    </row>
    <row r="15" customFormat="false" ht="15" hidden="false" customHeight="true" outlineLevel="0" collapsed="false">
      <c r="A15" s="11" t="s">
        <v>704</v>
      </c>
      <c r="B15" s="12" t="s">
        <v>707</v>
      </c>
      <c r="C15" s="19"/>
      <c r="D15" s="19" t="n">
        <v>0</v>
      </c>
      <c r="E15" s="19" t="n">
        <v>2500</v>
      </c>
      <c r="F15" s="12" t="s">
        <v>692</v>
      </c>
      <c r="G15" s="12" t="s">
        <v>650</v>
      </c>
    </row>
    <row r="16" customFormat="false" ht="15" hidden="false" customHeight="true" outlineLevel="0" collapsed="false">
      <c r="A16" s="21" t="s">
        <v>704</v>
      </c>
      <c r="B16" s="22" t="s">
        <v>708</v>
      </c>
      <c r="C16" s="25"/>
      <c r="D16" s="25" t="n">
        <v>0</v>
      </c>
      <c r="E16" s="25"/>
      <c r="F16" s="22" t="s">
        <v>709</v>
      </c>
      <c r="G16" s="22" t="s">
        <v>710</v>
      </c>
    </row>
    <row r="17" customFormat="false" ht="15" hidden="false" customHeight="true" outlineLevel="0" collapsed="false">
      <c r="A17" s="11" t="s">
        <v>704</v>
      </c>
      <c r="B17" s="12" t="s">
        <v>711</v>
      </c>
      <c r="C17" s="19"/>
      <c r="D17" s="19" t="n">
        <v>0</v>
      </c>
      <c r="E17" s="19"/>
      <c r="F17" s="12" t="s">
        <v>692</v>
      </c>
      <c r="G17" s="12" t="s">
        <v>650</v>
      </c>
    </row>
    <row r="18" customFormat="false" ht="15" hidden="false" customHeight="true" outlineLevel="0" collapsed="false">
      <c r="A18" s="21" t="s">
        <v>704</v>
      </c>
      <c r="B18" s="22" t="s">
        <v>712</v>
      </c>
      <c r="C18" s="25"/>
      <c r="D18" s="25" t="n">
        <v>0</v>
      </c>
      <c r="E18" s="25"/>
      <c r="F18" s="22" t="s">
        <v>692</v>
      </c>
      <c r="G18" s="22" t="s">
        <v>650</v>
      </c>
    </row>
    <row r="19" customFormat="false" ht="23.25" hidden="false" customHeight="true" outlineLevel="0" collapsed="false">
      <c r="A19" s="11" t="s">
        <v>713</v>
      </c>
      <c r="B19" s="12" t="s">
        <v>714</v>
      </c>
      <c r="C19" s="19" t="n">
        <v>10000</v>
      </c>
      <c r="D19" s="19" t="n">
        <v>0</v>
      </c>
      <c r="E19" s="19" t="n">
        <v>10000</v>
      </c>
      <c r="F19" s="12" t="s">
        <v>715</v>
      </c>
      <c r="G19" s="12" t="s">
        <v>716</v>
      </c>
    </row>
    <row r="20" customFormat="false" ht="15" hidden="false" customHeight="true" outlineLevel="0" collapsed="false">
      <c r="A20" s="21" t="s">
        <v>717</v>
      </c>
      <c r="B20" s="22" t="s">
        <v>718</v>
      </c>
      <c r="C20" s="25" t="n">
        <v>3000</v>
      </c>
      <c r="D20" s="25" t="n">
        <v>0</v>
      </c>
      <c r="E20" s="25" t="n">
        <v>3000</v>
      </c>
      <c r="F20" s="22" t="s">
        <v>715</v>
      </c>
      <c r="G20" s="22" t="s">
        <v>719</v>
      </c>
    </row>
    <row r="21" customFormat="false" ht="23.25" hidden="false" customHeight="true" outlineLevel="0" collapsed="false">
      <c r="A21" s="11" t="s">
        <v>720</v>
      </c>
      <c r="B21" s="12" t="s">
        <v>721</v>
      </c>
      <c r="C21" s="19" t="n">
        <v>2000</v>
      </c>
      <c r="D21" s="19" t="n">
        <v>0</v>
      </c>
      <c r="E21" s="19" t="n">
        <v>1500</v>
      </c>
      <c r="F21" s="12" t="s">
        <v>650</v>
      </c>
      <c r="G21" s="12" t="s">
        <v>722</v>
      </c>
    </row>
    <row r="22" customFormat="false" ht="23.25" hidden="false" customHeight="true" outlineLevel="0" collapsed="false">
      <c r="A22" s="21" t="s">
        <v>723</v>
      </c>
      <c r="B22" s="22" t="s">
        <v>724</v>
      </c>
      <c r="C22" s="25"/>
      <c r="D22" s="25" t="n">
        <v>0</v>
      </c>
      <c r="E22" s="25"/>
      <c r="F22" s="22" t="s">
        <v>692</v>
      </c>
      <c r="G22" s="22" t="s">
        <v>725</v>
      </c>
    </row>
    <row r="23" customFormat="false" ht="23.25" hidden="false" customHeight="true" outlineLevel="0" collapsed="false">
      <c r="A23" s="11" t="s">
        <v>726</v>
      </c>
      <c r="B23" s="12" t="s">
        <v>727</v>
      </c>
      <c r="C23" s="19" t="n">
        <v>2100</v>
      </c>
      <c r="D23" s="19" t="n">
        <v>0</v>
      </c>
      <c r="E23" s="19" t="n">
        <v>2000</v>
      </c>
      <c r="F23" s="12" t="s">
        <v>728</v>
      </c>
      <c r="G23" s="12" t="s">
        <v>729</v>
      </c>
    </row>
    <row r="24" customFormat="false" ht="23.25" hidden="false" customHeight="true" outlineLevel="0" collapsed="false">
      <c r="A24" s="21" t="s">
        <v>730</v>
      </c>
      <c r="B24" s="22" t="s">
        <v>731</v>
      </c>
      <c r="C24" s="25" t="n">
        <v>7500</v>
      </c>
      <c r="D24" s="25" t="n">
        <v>0</v>
      </c>
      <c r="E24" s="25" t="n">
        <v>4500</v>
      </c>
      <c r="F24" s="22" t="s">
        <v>715</v>
      </c>
      <c r="G24" s="22" t="s">
        <v>732</v>
      </c>
    </row>
    <row r="25" customFormat="false" ht="15" hidden="false" customHeight="true" outlineLevel="0" collapsed="false">
      <c r="A25" s="58"/>
      <c r="B25" s="59" t="s">
        <v>733</v>
      </c>
      <c r="C25" s="58"/>
      <c r="D25" s="58"/>
      <c r="E25" s="91" t="n">
        <f aca="false">SUM(E5:E24)</f>
        <v>57475</v>
      </c>
      <c r="F25" s="58"/>
      <c r="G25" s="58"/>
    </row>
    <row r="26" customFormat="false" ht="15" hidden="false" customHeight="true" outlineLevel="0" collapsed="false">
      <c r="B26" s="6" t="s">
        <v>734</v>
      </c>
    </row>
    <row r="28" customFormat="false" ht="15" hidden="false" customHeight="true" outlineLevel="0" collapsed="false">
      <c r="A28" s="92" t="s">
        <v>735</v>
      </c>
    </row>
    <row r="29" customFormat="false" ht="15" hidden="false" customHeight="true" outlineLevel="0" collapsed="false">
      <c r="A29" s="93"/>
      <c r="B29" s="93" t="s">
        <v>736</v>
      </c>
      <c r="C29" s="93" t="s">
        <v>737</v>
      </c>
      <c r="D29" s="93" t="s">
        <v>738</v>
      </c>
    </row>
    <row r="30" customFormat="false" ht="15" hidden="false" customHeight="true" outlineLevel="0" collapsed="false">
      <c r="A30" s="11" t="s">
        <v>739</v>
      </c>
      <c r="B30" s="94" t="n">
        <v>107414.33</v>
      </c>
      <c r="C30" s="94" t="n">
        <v>24481.58</v>
      </c>
      <c r="D30" s="95" t="n">
        <f aca="false">B30+C30</f>
        <v>131895.91</v>
      </c>
    </row>
    <row r="31" customFormat="false" ht="15" hidden="false" customHeight="true" outlineLevel="0" collapsed="false">
      <c r="A31" s="11" t="s">
        <v>740</v>
      </c>
      <c r="B31" s="94" t="n">
        <v>22180.93</v>
      </c>
      <c r="C31" s="94" t="n">
        <v>12294.9</v>
      </c>
      <c r="D31" s="95" t="n">
        <f aca="false">B31+C31</f>
        <v>34475.83</v>
      </c>
    </row>
    <row r="32" customFormat="false" ht="15" hidden="false" customHeight="true" outlineLevel="0" collapsed="false">
      <c r="A32" s="93" t="s">
        <v>741</v>
      </c>
      <c r="B32" s="96" t="n">
        <f aca="false">SUM(B30:B31)</f>
        <v>129595.26</v>
      </c>
      <c r="C32" s="96" t="n">
        <f aca="false">SUM(C30:C31)</f>
        <v>36776.48</v>
      </c>
      <c r="D32" s="96" t="n">
        <f aca="false">B32+C32</f>
        <v>166371.74</v>
      </c>
    </row>
    <row r="33" customFormat="false" ht="15" hidden="false" customHeight="true" outlineLevel="0" collapsed="false">
      <c r="A33" s="4" t="s">
        <v>742</v>
      </c>
      <c r="D33" s="97" t="n">
        <f aca="false">D32</f>
        <v>166371.74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40625" defaultRowHeight="14.2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8" min="7" style="0" width="13"/>
  </cols>
  <sheetData>
    <row r="1" customFormat="false" ht="15.75" hidden="false" customHeight="true" outlineLevel="0" collapsed="false">
      <c r="A1" s="90" t="s">
        <v>743</v>
      </c>
    </row>
    <row r="2" customFormat="false" ht="15" hidden="false" customHeight="true" outlineLevel="0" collapsed="false">
      <c r="A2" s="4" t="s">
        <v>744</v>
      </c>
    </row>
    <row r="4" customFormat="false" ht="15" hidden="false" customHeight="true" outlineLevel="0" collapsed="false">
      <c r="A4" s="98" t="s">
        <v>12</v>
      </c>
      <c r="B4" s="98" t="s">
        <v>745</v>
      </c>
      <c r="C4" s="98" t="s">
        <v>30</v>
      </c>
      <c r="D4" s="98" t="s">
        <v>81</v>
      </c>
      <c r="E4" s="98" t="s">
        <v>39</v>
      </c>
      <c r="F4" s="98" t="s">
        <v>126</v>
      </c>
      <c r="G4" s="98" t="s">
        <v>22</v>
      </c>
      <c r="H4" s="98" t="s">
        <v>23</v>
      </c>
    </row>
    <row r="5" customFormat="false" ht="15" hidden="false" customHeight="true" outlineLevel="0" collapsed="false">
      <c r="A5" s="11" t="s">
        <v>27</v>
      </c>
      <c r="B5" s="10" t="n">
        <f aca="false">COUNTIF('Scope Checklist'!$B$6:$B$149,A5)</f>
        <v>25</v>
      </c>
      <c r="C5" s="10" t="n">
        <f aca="false">COUNTIFS('Scope Checklist'!$B$6:$B$149,A5,'Scope Checklist'!$E$6:$E$149,"Pending")</f>
        <v>22</v>
      </c>
      <c r="D5" s="10" t="n">
        <f aca="false">COUNTIFS('Scope Checklist'!$B$6:$B$149,A5,'Scope Checklist'!$E$6:$E$149,"In Progress")</f>
        <v>2</v>
      </c>
      <c r="E5" s="10" t="n">
        <f aca="false">COUNTIFS('Scope Checklist'!$B$6:$B$149,A5,'Scope Checklist'!$E$6:$E$149,"Complete")</f>
        <v>1</v>
      </c>
      <c r="F5" s="10" t="n">
        <f aca="false">COUNTIFS('Scope Checklist'!$B$6:$B$149,A5,'Scope Checklist'!$E$6:$E$149,"Not Needed")</f>
        <v>0</v>
      </c>
      <c r="G5" s="19" t="n">
        <f aca="false">SUMIF('Scope Checklist'!$B$6:$B$149,A5,'Scope Checklist'!$L$6:$L$149)</f>
        <v>0</v>
      </c>
      <c r="H5" s="19" t="n">
        <f aca="false">SUMIF('Scope Checklist'!$B$6:$B$149,A5,'Scope Checklist'!$M$6:$M$149)</f>
        <v>0</v>
      </c>
    </row>
    <row r="6" customFormat="false" ht="15" hidden="false" customHeight="true" outlineLevel="0" collapsed="false">
      <c r="A6" s="11" t="s">
        <v>352</v>
      </c>
      <c r="B6" s="10" t="n">
        <f aca="false">COUNTIF('Scope Checklist'!$B$6:$B$149,A6)</f>
        <v>0</v>
      </c>
      <c r="C6" s="10" t="n">
        <f aca="false">COUNTIFS('Scope Checklist'!$B$6:$B$149,A6,'Scope Checklist'!$E$6:$E$149,"Pending")</f>
        <v>0</v>
      </c>
      <c r="D6" s="10" t="n">
        <f aca="false">COUNTIFS('Scope Checklist'!$B$6:$B$149,A6,'Scope Checklist'!$E$6:$E$149,"In Progress")</f>
        <v>0</v>
      </c>
      <c r="E6" s="10" t="n">
        <f aca="false">COUNTIFS('Scope Checklist'!$B$6:$B$149,A6,'Scope Checklist'!$E$6:$E$149,"Complete")</f>
        <v>0</v>
      </c>
      <c r="F6" s="10" t="n">
        <f aca="false">COUNTIFS('Scope Checklist'!$B$6:$B$149,A6,'Scope Checklist'!$E$6:$E$149,"Not Needed")</f>
        <v>0</v>
      </c>
      <c r="G6" s="19" t="n">
        <f aca="false">SUMIF('Scope Checklist'!$B$6:$B$149,A6,'Scope Checklist'!$L$6:$L$149)</f>
        <v>0</v>
      </c>
      <c r="H6" s="19" t="n">
        <f aca="false">SUMIF('Scope Checklist'!$B$6:$B$149,A6,'Scope Checklist'!$M$6:$M$149)</f>
        <v>0</v>
      </c>
    </row>
    <row r="7" customFormat="false" ht="15" hidden="false" customHeight="true" outlineLevel="0" collapsed="false">
      <c r="A7" s="11" t="s">
        <v>87</v>
      </c>
      <c r="B7" s="10" t="n">
        <f aca="false">COUNTIF('Scope Checklist'!$B$6:$B$149,A7)</f>
        <v>13</v>
      </c>
      <c r="C7" s="10" t="n">
        <f aca="false">COUNTIFS('Scope Checklist'!$B$6:$B$149,A7,'Scope Checklist'!$E$6:$E$149,"Pending")</f>
        <v>10</v>
      </c>
      <c r="D7" s="10" t="n">
        <f aca="false">COUNTIFS('Scope Checklist'!$B$6:$B$149,A7,'Scope Checklist'!$E$6:$E$149,"In Progress")</f>
        <v>0</v>
      </c>
      <c r="E7" s="10" t="n">
        <f aca="false">COUNTIFS('Scope Checklist'!$B$6:$B$149,A7,'Scope Checklist'!$E$6:$E$149,"Complete")</f>
        <v>2</v>
      </c>
      <c r="F7" s="10" t="n">
        <f aca="false">COUNTIFS('Scope Checklist'!$B$6:$B$149,A7,'Scope Checklist'!$E$6:$E$149,"Not Needed")</f>
        <v>1</v>
      </c>
      <c r="G7" s="19" t="n">
        <f aca="false">SUMIF('Scope Checklist'!$B$6:$B$149,A7,'Scope Checklist'!$L$6:$L$149)</f>
        <v>0</v>
      </c>
      <c r="H7" s="19" t="n">
        <f aca="false">SUMIF('Scope Checklist'!$B$6:$B$149,A7,'Scope Checklist'!$M$6:$M$149)</f>
        <v>0</v>
      </c>
    </row>
    <row r="8" customFormat="false" ht="15" hidden="false" customHeight="true" outlineLevel="0" collapsed="false">
      <c r="A8" s="11" t="s">
        <v>128</v>
      </c>
      <c r="B8" s="10" t="n">
        <f aca="false">COUNTIF('Scope Checklist'!$B$6:$B$149,A8)</f>
        <v>11</v>
      </c>
      <c r="C8" s="10" t="n">
        <f aca="false">COUNTIFS('Scope Checklist'!$B$6:$B$149,A8,'Scope Checklist'!$E$6:$E$149,"Pending")</f>
        <v>8</v>
      </c>
      <c r="D8" s="10" t="n">
        <f aca="false">COUNTIFS('Scope Checklist'!$B$6:$B$149,A8,'Scope Checklist'!$E$6:$E$149,"In Progress")</f>
        <v>3</v>
      </c>
      <c r="E8" s="10" t="n">
        <f aca="false">COUNTIFS('Scope Checklist'!$B$6:$B$149,A8,'Scope Checklist'!$E$6:$E$149,"Complete")</f>
        <v>0</v>
      </c>
      <c r="F8" s="10" t="n">
        <f aca="false">COUNTIFS('Scope Checklist'!$B$6:$B$149,A8,'Scope Checklist'!$E$6:$E$149,"Not Needed")</f>
        <v>0</v>
      </c>
      <c r="G8" s="19" t="n">
        <f aca="false">SUMIF('Scope Checklist'!$B$6:$B$149,A8,'Scope Checklist'!$L$6:$L$149)</f>
        <v>14000</v>
      </c>
      <c r="H8" s="19" t="n">
        <f aca="false">SUMIF('Scope Checklist'!$B$6:$B$149,A8,'Scope Checklist'!$M$6:$M$149)</f>
        <v>7000</v>
      </c>
    </row>
    <row r="9" customFormat="false" ht="15" hidden="false" customHeight="true" outlineLevel="0" collapsed="false">
      <c r="A9" s="11" t="s">
        <v>162</v>
      </c>
      <c r="B9" s="10" t="n">
        <f aca="false">COUNTIF('Scope Checklist'!$B$6:$B$149,A9)</f>
        <v>7</v>
      </c>
      <c r="C9" s="10" t="n">
        <f aca="false">COUNTIFS('Scope Checklist'!$B$6:$B$149,A9,'Scope Checklist'!$E$6:$E$149,"Pending")</f>
        <v>5</v>
      </c>
      <c r="D9" s="10" t="n">
        <f aca="false">COUNTIFS('Scope Checklist'!$B$6:$B$149,A9,'Scope Checklist'!$E$6:$E$149,"In Progress")</f>
        <v>0</v>
      </c>
      <c r="E9" s="10" t="n">
        <f aca="false">COUNTIFS('Scope Checklist'!$B$6:$B$149,A9,'Scope Checklist'!$E$6:$E$149,"Complete")</f>
        <v>1</v>
      </c>
      <c r="F9" s="10" t="n">
        <f aca="false">COUNTIFS('Scope Checklist'!$B$6:$B$149,A9,'Scope Checklist'!$E$6:$E$149,"Not Needed")</f>
        <v>1</v>
      </c>
      <c r="G9" s="19" t="n">
        <f aca="false">SUMIF('Scope Checklist'!$B$6:$B$149,A9,'Scope Checklist'!$L$6:$L$149)</f>
        <v>0</v>
      </c>
      <c r="H9" s="19" t="n">
        <f aca="false">SUMIF('Scope Checklist'!$B$6:$B$149,A9,'Scope Checklist'!$M$6:$M$149)</f>
        <v>1500</v>
      </c>
    </row>
    <row r="10" customFormat="false" ht="15" hidden="false" customHeight="true" outlineLevel="0" collapsed="false">
      <c r="A10" s="11" t="s">
        <v>181</v>
      </c>
      <c r="B10" s="10" t="n">
        <f aca="false">COUNTIF('Scope Checklist'!$B$6:$B$149,A10)</f>
        <v>8</v>
      </c>
      <c r="C10" s="10" t="n">
        <f aca="false">COUNTIFS('Scope Checklist'!$B$6:$B$149,A10,'Scope Checklist'!$E$6:$E$149,"Pending")</f>
        <v>7</v>
      </c>
      <c r="D10" s="10" t="n">
        <f aca="false">COUNTIFS('Scope Checklist'!$B$6:$B$149,A10,'Scope Checklist'!$E$6:$E$149,"In Progress")</f>
        <v>0</v>
      </c>
      <c r="E10" s="10" t="n">
        <f aca="false">COUNTIFS('Scope Checklist'!$B$6:$B$149,A10,'Scope Checklist'!$E$6:$E$149,"Complete")</f>
        <v>0</v>
      </c>
      <c r="F10" s="10" t="n">
        <f aca="false">COUNTIFS('Scope Checklist'!$B$6:$B$149,A10,'Scope Checklist'!$E$6:$E$149,"Not Needed")</f>
        <v>1</v>
      </c>
      <c r="G10" s="19" t="n">
        <f aca="false">SUMIF('Scope Checklist'!$B$6:$B$149,A10,'Scope Checklist'!$L$6:$L$149)</f>
        <v>2100</v>
      </c>
      <c r="H10" s="19" t="n">
        <f aca="false">SUMIF('Scope Checklist'!$B$6:$B$149,A10,'Scope Checklist'!$M$6:$M$149)</f>
        <v>2000</v>
      </c>
    </row>
    <row r="11" customFormat="false" ht="15" hidden="false" customHeight="true" outlineLevel="0" collapsed="false">
      <c r="A11" s="11" t="s">
        <v>200</v>
      </c>
      <c r="B11" s="10" t="n">
        <f aca="false">COUNTIF('Scope Checklist'!$B$6:$B$149,A11)</f>
        <v>9</v>
      </c>
      <c r="C11" s="10" t="n">
        <f aca="false">COUNTIFS('Scope Checklist'!$B$6:$B$149,A11,'Scope Checklist'!$E$6:$E$149,"Pending")</f>
        <v>7</v>
      </c>
      <c r="D11" s="10" t="n">
        <f aca="false">COUNTIFS('Scope Checklist'!$B$6:$B$149,A11,'Scope Checklist'!$E$6:$E$149,"In Progress")</f>
        <v>1</v>
      </c>
      <c r="E11" s="10" t="n">
        <f aca="false">COUNTIFS('Scope Checklist'!$B$6:$B$149,A11,'Scope Checklist'!$E$6:$E$149,"Complete")</f>
        <v>0</v>
      </c>
      <c r="F11" s="10" t="n">
        <f aca="false">COUNTIFS('Scope Checklist'!$B$6:$B$149,A11,'Scope Checklist'!$E$6:$E$149,"Not Needed")</f>
        <v>1</v>
      </c>
      <c r="G11" s="19" t="n">
        <f aca="false">SUMIF('Scope Checklist'!$B$6:$B$149,A11,'Scope Checklist'!$L$6:$L$149)</f>
        <v>36775</v>
      </c>
      <c r="H11" s="19" t="n">
        <f aca="false">SUMIF('Scope Checklist'!$B$6:$B$149,A11,'Scope Checklist'!$M$6:$M$149)</f>
        <v>18475</v>
      </c>
    </row>
    <row r="12" customFormat="false" ht="15" hidden="false" customHeight="true" outlineLevel="0" collapsed="false">
      <c r="A12" s="11" t="s">
        <v>227</v>
      </c>
      <c r="B12" s="10" t="n">
        <f aca="false">COUNTIF('Scope Checklist'!$B$6:$B$149,A12)</f>
        <v>19</v>
      </c>
      <c r="C12" s="10" t="n">
        <f aca="false">COUNTIFS('Scope Checklist'!$B$6:$B$149,A12,'Scope Checklist'!$E$6:$E$149,"Pending")</f>
        <v>19</v>
      </c>
      <c r="D12" s="10" t="n">
        <f aca="false">COUNTIFS('Scope Checklist'!$B$6:$B$149,A12,'Scope Checklist'!$E$6:$E$149,"In Progress")</f>
        <v>0</v>
      </c>
      <c r="E12" s="10" t="n">
        <f aca="false">COUNTIFS('Scope Checklist'!$B$6:$B$149,A12,'Scope Checklist'!$E$6:$E$149,"Complete")</f>
        <v>0</v>
      </c>
      <c r="F12" s="10" t="n">
        <f aca="false">COUNTIFS('Scope Checklist'!$B$6:$B$149,A12,'Scope Checklist'!$E$6:$E$149,"Not Needed")</f>
        <v>0</v>
      </c>
      <c r="G12" s="19" t="n">
        <f aca="false">SUMIF('Scope Checklist'!$B$6:$B$149,A12,'Scope Checklist'!$L$6:$L$149)</f>
        <v>3000</v>
      </c>
      <c r="H12" s="19" t="n">
        <f aca="false">SUMIF('Scope Checklist'!$B$6:$B$149,A12,'Scope Checklist'!$M$6:$M$149)</f>
        <v>6500</v>
      </c>
    </row>
    <row r="13" customFormat="false" ht="15" hidden="false" customHeight="true" outlineLevel="0" collapsed="false">
      <c r="A13" s="11" t="s">
        <v>285</v>
      </c>
      <c r="B13" s="10" t="n">
        <f aca="false">COUNTIF('Scope Checklist'!$B$6:$B$149,A13)</f>
        <v>14</v>
      </c>
      <c r="C13" s="10" t="n">
        <f aca="false">COUNTIFS('Scope Checklist'!$B$6:$B$149,A13,'Scope Checklist'!$E$6:$E$149,"Pending")</f>
        <v>14</v>
      </c>
      <c r="D13" s="10" t="n">
        <f aca="false">COUNTIFS('Scope Checklist'!$B$6:$B$149,A13,'Scope Checklist'!$E$6:$E$149,"In Progress")</f>
        <v>0</v>
      </c>
      <c r="E13" s="10" t="n">
        <f aca="false">COUNTIFS('Scope Checklist'!$B$6:$B$149,A13,'Scope Checklist'!$E$6:$E$149,"Complete")</f>
        <v>0</v>
      </c>
      <c r="F13" s="10" t="n">
        <f aca="false">COUNTIFS('Scope Checklist'!$B$6:$B$149,A13,'Scope Checklist'!$E$6:$E$149,"Not Needed")</f>
        <v>0</v>
      </c>
      <c r="G13" s="19" t="n">
        <f aca="false">SUMIF('Scope Checklist'!$B$6:$B$149,A13,'Scope Checklist'!$L$6:$L$149)</f>
        <v>0</v>
      </c>
      <c r="H13" s="19" t="n">
        <f aca="false">SUMIF('Scope Checklist'!$B$6:$B$149,A13,'Scope Checklist'!$M$6:$M$149)</f>
        <v>0</v>
      </c>
    </row>
    <row r="14" customFormat="false" ht="15" hidden="false" customHeight="true" outlineLevel="0" collapsed="false">
      <c r="A14" s="11" t="s">
        <v>297</v>
      </c>
      <c r="B14" s="10" t="n">
        <f aca="false">COUNTIF('Scope Checklist'!$B$6:$B$149,A14)</f>
        <v>15</v>
      </c>
      <c r="C14" s="10" t="n">
        <f aca="false">COUNTIFS('Scope Checklist'!$B$6:$B$149,A14,'Scope Checklist'!$E$6:$E$149,"Pending")</f>
        <v>15</v>
      </c>
      <c r="D14" s="10" t="n">
        <f aca="false">COUNTIFS('Scope Checklist'!$B$6:$B$149,A14,'Scope Checklist'!$E$6:$E$149,"In Progress")</f>
        <v>0</v>
      </c>
      <c r="E14" s="10" t="n">
        <f aca="false">COUNTIFS('Scope Checklist'!$B$6:$B$149,A14,'Scope Checklist'!$E$6:$E$149,"Complete")</f>
        <v>0</v>
      </c>
      <c r="F14" s="10" t="n">
        <f aca="false">COUNTIFS('Scope Checklist'!$B$6:$B$149,A14,'Scope Checklist'!$E$6:$E$149,"Not Needed")</f>
        <v>0</v>
      </c>
      <c r="G14" s="19" t="n">
        <f aca="false">SUMIF('Scope Checklist'!$B$6:$B$149,A14,'Scope Checklist'!$L$6:$L$149)</f>
        <v>0</v>
      </c>
      <c r="H14" s="19" t="n">
        <f aca="false">SUMIF('Scope Checklist'!$B$6:$B$149,A14,'Scope Checklist'!$M$6:$M$149)</f>
        <v>0</v>
      </c>
    </row>
    <row r="15" customFormat="false" ht="15" hidden="false" customHeight="true" outlineLevel="0" collapsed="false">
      <c r="A15" s="11" t="s">
        <v>334</v>
      </c>
      <c r="B15" s="10" t="n">
        <f aca="false">COUNTIF('Scope Checklist'!$B$6:$B$149,A15)</f>
        <v>6</v>
      </c>
      <c r="C15" s="10" t="n">
        <f aca="false">COUNTIFS('Scope Checklist'!$B$6:$B$149,A15,'Scope Checklist'!$E$6:$E$149,"Pending")</f>
        <v>6</v>
      </c>
      <c r="D15" s="10" t="n">
        <f aca="false">COUNTIFS('Scope Checklist'!$B$6:$B$149,A15,'Scope Checklist'!$E$6:$E$149,"In Progress")</f>
        <v>0</v>
      </c>
      <c r="E15" s="10" t="n">
        <f aca="false">COUNTIFS('Scope Checklist'!$B$6:$B$149,A15,'Scope Checklist'!$E$6:$E$149,"Complete")</f>
        <v>0</v>
      </c>
      <c r="F15" s="10" t="n">
        <f aca="false">COUNTIFS('Scope Checklist'!$B$6:$B$149,A15,'Scope Checklist'!$E$6:$E$149,"Not Needed")</f>
        <v>0</v>
      </c>
      <c r="G15" s="19" t="n">
        <f aca="false">SUMIF('Scope Checklist'!$B$6:$B$149,A15,'Scope Checklist'!$L$6:$L$149)</f>
        <v>0</v>
      </c>
      <c r="H15" s="19" t="n">
        <f aca="false">SUMIF('Scope Checklist'!$B$6:$B$149,A15,'Scope Checklist'!$M$6:$M$149)</f>
        <v>0</v>
      </c>
    </row>
    <row r="16" customFormat="false" ht="15" hidden="false" customHeight="true" outlineLevel="0" collapsed="false">
      <c r="A16" s="4" t="s">
        <v>746</v>
      </c>
      <c r="B16" s="86" t="n">
        <f aca="false">SUM(B5:B15)</f>
        <v>127</v>
      </c>
      <c r="C16" s="86" t="n">
        <f aca="false">SUM(C5:C15)</f>
        <v>113</v>
      </c>
      <c r="D16" s="86" t="n">
        <f aca="false">SUM(D5:D15)</f>
        <v>6</v>
      </c>
      <c r="E16" s="86" t="n">
        <f aca="false">SUM(E5:E15)</f>
        <v>4</v>
      </c>
      <c r="F16" s="86" t="n">
        <f aca="false">SUM(F5:F15)</f>
        <v>4</v>
      </c>
      <c r="G16" s="99" t="n">
        <f aca="false">SUM(G5:G15)</f>
        <v>55875</v>
      </c>
      <c r="H16" s="99" t="n">
        <f aca="false">SUM(H5:H15)</f>
        <v>35475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2026-07-02T16:31:47Z</dcterms:created>
  <dc:creator>openpyxl</dc:creator>
  <dc:description/>
  <dc:language>en-US</dc:language>
  <cp:lastModifiedBy>Roberto Carlos Acuña Garzon</cp:lastModifiedBy>
  <dcterms:modified xsi:type="dcterms:W3CDTF">2026-09-24T16:15:45Z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